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 inn computer\Downloads\"/>
    </mc:Choice>
  </mc:AlternateContent>
  <xr:revisionPtr revIDLastSave="0" documentId="13_ncr:1_{D904EF30-F9B8-427A-BA17-FE4BA3A146D5}" xr6:coauthVersionLast="47" xr6:coauthVersionMax="47" xr10:uidLastSave="{00000000-0000-0000-0000-000000000000}"/>
  <bookViews>
    <workbookView xWindow="-108" yWindow="-108" windowWidth="23256" windowHeight="12576" activeTab="2" xr2:uid="{E8BECC34-5957-48DB-9E5A-6879336D4C7A}"/>
  </bookViews>
  <sheets>
    <sheet name="Career Earnings Comparison" sheetId="5" r:id="rId1"/>
    <sheet name="Monthly Earnings by Student" sheetId="6" r:id="rId2"/>
    <sheet name="Sheet1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1" l="1"/>
  <c r="N15" i="1"/>
  <c r="N17" i="1"/>
  <c r="N18" i="1"/>
  <c r="N19" i="1"/>
  <c r="N20" i="1"/>
  <c r="N21" i="1"/>
  <c r="N14" i="1"/>
  <c r="S4" i="1"/>
  <c r="S3" i="1"/>
  <c r="S5" i="1"/>
  <c r="O8" i="1"/>
  <c r="O6" i="1"/>
  <c r="O5" i="1"/>
  <c r="O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H36" i="1"/>
  <c r="H5" i="1"/>
  <c r="H47" i="1"/>
  <c r="H28" i="1"/>
  <c r="H13" i="1"/>
  <c r="H41" i="1"/>
  <c r="H9" i="1"/>
  <c r="H50" i="1"/>
  <c r="H18" i="1"/>
  <c r="H32" i="1"/>
  <c r="H7" i="1"/>
  <c r="H43" i="1"/>
  <c r="H26" i="1"/>
  <c r="H11" i="1"/>
  <c r="H39" i="1"/>
  <c r="H16" i="1"/>
  <c r="H49" i="1"/>
  <c r="H24" i="1"/>
  <c r="H3" i="1"/>
  <c r="H34" i="1"/>
  <c r="H22" i="1"/>
  <c r="H45" i="1"/>
  <c r="H30" i="1"/>
  <c r="H14" i="1"/>
  <c r="H38" i="1"/>
  <c r="H6" i="1"/>
  <c r="H52" i="1"/>
  <c r="H19" i="1"/>
  <c r="H33" i="1"/>
  <c r="H10" i="1"/>
  <c r="H42" i="1"/>
  <c r="H29" i="1"/>
  <c r="H8" i="1"/>
  <c r="H48" i="1"/>
  <c r="H25" i="1"/>
  <c r="H12" i="1"/>
  <c r="H37" i="1"/>
  <c r="H17" i="1"/>
  <c r="H44" i="1"/>
  <c r="H27" i="1"/>
  <c r="H4" i="1"/>
  <c r="H40" i="1"/>
  <c r="H23" i="1"/>
  <c r="H51" i="1"/>
  <c r="H31" i="1"/>
  <c r="H15" i="1"/>
  <c r="H46" i="1"/>
  <c r="H20" i="1"/>
  <c r="H35" i="1"/>
  <c r="H21" i="1"/>
  <c r="O4" i="1" l="1"/>
  <c r="O7" i="1"/>
</calcChain>
</file>

<file path=xl/sharedStrings.xml><?xml version="1.0" encoding="utf-8"?>
<sst xmlns="http://schemas.openxmlformats.org/spreadsheetml/2006/main" count="450" uniqueCount="158">
  <si>
    <t>S001</t>
  </si>
  <si>
    <t>Ali</t>
  </si>
  <si>
    <t>S002</t>
  </si>
  <si>
    <t>S003</t>
  </si>
  <si>
    <t>S004</t>
  </si>
  <si>
    <t>S005</t>
  </si>
  <si>
    <t>S006</t>
  </si>
  <si>
    <t>S007</t>
  </si>
  <si>
    <t>S008</t>
  </si>
  <si>
    <t>Fatima</t>
  </si>
  <si>
    <t>S009</t>
  </si>
  <si>
    <t>S010</t>
  </si>
  <si>
    <t>S011</t>
  </si>
  <si>
    <t>Hamza</t>
  </si>
  <si>
    <t>S012</t>
  </si>
  <si>
    <t>S013</t>
  </si>
  <si>
    <t>S014</t>
  </si>
  <si>
    <t>Iqra</t>
  </si>
  <si>
    <t>S015</t>
  </si>
  <si>
    <t>S016</t>
  </si>
  <si>
    <t>Mahnoor</t>
  </si>
  <si>
    <t>S017</t>
  </si>
  <si>
    <t>S018</t>
  </si>
  <si>
    <t>S019</t>
  </si>
  <si>
    <t>S020</t>
  </si>
  <si>
    <t>S021</t>
  </si>
  <si>
    <t>S022</t>
  </si>
  <si>
    <t>Laiba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</si>
  <si>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</si>
  <si>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</si>
  <si>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</si>
  <si>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</si>
  <si>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</si>
  <si>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</si>
  <si>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</si>
  <si>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</si>
  <si>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</si>
  <si>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</si>
  <si>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</si>
  <si>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</si>
  <si>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</si>
  <si>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</si>
  <si>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</si>
  <si>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</si>
  <si>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</si>
  <si>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</si>
  <si>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Nimra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</si>
  <si>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</si>
  <si>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</si>
  <si>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</si>
  <si>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</si>
  <si>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</si>
  <si>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</si>
  <si>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</si>
  <si>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</si>
  <si>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</si>
  <si>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</si>
  <si>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 xml:space="preserve">STUDENT ID </t>
  </si>
  <si>
    <t>NAME</t>
  </si>
  <si>
    <t xml:space="preserve">AGE </t>
  </si>
  <si>
    <t>INTEREST</t>
  </si>
  <si>
    <t>CAREER GOAL</t>
  </si>
  <si>
    <t>SKILLS</t>
  </si>
  <si>
    <t xml:space="preserve">COURSE COMPLETED </t>
  </si>
  <si>
    <t>PROGRESS%</t>
  </si>
  <si>
    <t>FREELANCING PLATFORM</t>
  </si>
  <si>
    <t>MONTHLY EARNINGS</t>
  </si>
  <si>
    <t>STATUS</t>
  </si>
  <si>
    <t xml:space="preserve">AI CAREER ASSISTANT DATA </t>
  </si>
  <si>
    <t>Alia</t>
  </si>
  <si>
    <t>Aira</t>
  </si>
  <si>
    <t>Aima</t>
  </si>
  <si>
    <t>Aashir</t>
  </si>
  <si>
    <t>Aamir</t>
  </si>
  <si>
    <t>Atif</t>
  </si>
  <si>
    <t>Aania</t>
  </si>
  <si>
    <t>Beenish</t>
  </si>
  <si>
    <t>Bareera</t>
  </si>
  <si>
    <t>Calis</t>
  </si>
  <si>
    <t>Danish</t>
  </si>
  <si>
    <t>Dania</t>
  </si>
  <si>
    <t>Danial</t>
  </si>
  <si>
    <t>Erum</t>
  </si>
  <si>
    <t>Esha</t>
  </si>
  <si>
    <t>Farah</t>
  </si>
  <si>
    <t>Ghani</t>
  </si>
  <si>
    <t>Hania</t>
  </si>
  <si>
    <t>Horain</t>
  </si>
  <si>
    <t>Hira</t>
  </si>
  <si>
    <t>Hanan</t>
  </si>
  <si>
    <t>Imran</t>
  </si>
  <si>
    <t>Isha</t>
  </si>
  <si>
    <t>Jerry</t>
  </si>
  <si>
    <t>Kelix</t>
  </si>
  <si>
    <t>Kashif</t>
  </si>
  <si>
    <t>Kamir</t>
  </si>
  <si>
    <t>Lubna</t>
  </si>
  <si>
    <t>Lara</t>
  </si>
  <si>
    <t>Maira</t>
  </si>
  <si>
    <t>Mohsin</t>
  </si>
  <si>
    <t>Naila</t>
  </si>
  <si>
    <t>Owais</t>
  </si>
  <si>
    <t>Pariwash</t>
  </si>
  <si>
    <t>Pahom</t>
  </si>
  <si>
    <t>Pari</t>
  </si>
  <si>
    <t>Rahim</t>
  </si>
  <si>
    <t>Rafia</t>
  </si>
  <si>
    <t>Sufyan</t>
  </si>
  <si>
    <t>Sarah</t>
  </si>
  <si>
    <t>Sana</t>
  </si>
  <si>
    <t>Tahir</t>
  </si>
  <si>
    <t>Tabish</t>
  </si>
  <si>
    <t>Web Development</t>
  </si>
  <si>
    <t>CIT</t>
  </si>
  <si>
    <t xml:space="preserve">Digital Marketing </t>
  </si>
  <si>
    <t>Graphic Designing</t>
  </si>
  <si>
    <t>Content Writing</t>
  </si>
  <si>
    <t>Cyber Security</t>
  </si>
  <si>
    <t>SEO</t>
  </si>
  <si>
    <t>Full Stack Developer</t>
  </si>
  <si>
    <t>IT Support Specialist</t>
  </si>
  <si>
    <t>Digital Marketing Specialist</t>
  </si>
  <si>
    <t>SEO Specialist</t>
  </si>
  <si>
    <t>Graphic Designer</t>
  </si>
  <si>
    <t>Content Writer</t>
  </si>
  <si>
    <t>Cyber Security Analyst</t>
  </si>
  <si>
    <t>HTML, CSS, JavaScript</t>
  </si>
  <si>
    <t>MS Office, Networking, Troubleshooting</t>
  </si>
  <si>
    <t>SEO, Social Media Marketing, Google Ads</t>
  </si>
  <si>
    <t>Photoshop, Illustrator, Canva</t>
  </si>
  <si>
    <t>Figma, Adobe XD, Wireframing</t>
  </si>
  <si>
    <t>SEO Writing, Blogging, Copywriting</t>
  </si>
  <si>
    <t>Network Security, Linux, Ethical Hacking</t>
  </si>
  <si>
    <t>Keyword Research, On-Page SEO</t>
  </si>
  <si>
    <t>Yes</t>
  </si>
  <si>
    <t>No</t>
  </si>
  <si>
    <t>Freelancing</t>
  </si>
  <si>
    <t>Upwork</t>
  </si>
  <si>
    <t>TOTAL STUDENTS</t>
  </si>
  <si>
    <t xml:space="preserve">AVERAGE PROGRESS </t>
  </si>
  <si>
    <t>HIGHEST EARNING</t>
  </si>
  <si>
    <t>LOWEST EARNING</t>
  </si>
  <si>
    <t>ACTIVE FREELANCERS</t>
  </si>
  <si>
    <t>TOTAL EARNINGS</t>
  </si>
  <si>
    <t>CALCULATIONS</t>
  </si>
  <si>
    <t>PLATFORM</t>
  </si>
  <si>
    <t>TOTAL EARNING</t>
  </si>
  <si>
    <t>Fiverr</t>
  </si>
  <si>
    <t>PLATFORM EARNING</t>
  </si>
  <si>
    <t>Digital Marketing</t>
  </si>
  <si>
    <t>SUGGESTED CAREER</t>
  </si>
  <si>
    <t>CAREER VLOOKUP</t>
  </si>
  <si>
    <t>UX/UI Design</t>
  </si>
  <si>
    <t>UX/UI Designer</t>
  </si>
  <si>
    <t xml:space="preserve">SEO Specialist </t>
  </si>
  <si>
    <t>Row Labels</t>
  </si>
  <si>
    <t>Grand Total</t>
  </si>
  <si>
    <t>Sum of MONTHLY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</si>
</sst>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8"/>
      <color theme="3" tint="-0.499984740745262"/>
      <name val="Times New Roman"/>
      <family val="1"/>
    </font>
    <font>
      <b/>
      <sz val="11"/>
      <color theme="3" tint="-0.499984740745262"/>
      <name val="Times New Roman"/>
      <family val="1"/>
    </font>
    <font>
      <b/>
      <sz val="16"/>
      <color theme="6" tint="-0.499984740745262"/>
      <name val="Times New Roman"/>
      <family val="1"/>
    </font>
    <font>
      <b/>
      <sz val="18"/>
      <color theme="6" tint="-0.499984740745262"/>
      <name val="Times New Roman"/>
      <family val="1"/>
    </font>
    <font>
      <sz val="11"/>
      <color theme="6" tint="-0.499984740745262"/>
      <name val="Times New Roman"/>
      <family val="1"/>
    </font>
    <font>
      <sz val="11"/>
      <color theme="6" tint="-0.499984740745262"/>
      <name val="Calibri"/>
      <family val="2"/>
      <scheme val="minor"/>
    </font>
    <font>
      <sz val="10"/>
      <color theme="6" tint="-0.499984740745262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3" borderId="3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6" tint="-0.499984740745262"/>
        <name val="Times New Roman"/>
        <family val="1"/>
        <scheme val="none"/>
      </font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(2).xlsx]Career Earnings Comparison!PivotTable2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'Career Earnings Comparison'!$B$1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'Career Earnings Comparison'!$A$2:$A$11</c:f>
              <c:strCache>
                <c:ptCount val="9"/>
                <c:pt idx="0">
                  <c:v>CIT</c:v>
                </c:pt>
                <c:pt idx="1">
                  <c:v>Content Writing</c:v>
                </c:pt>
                <c:pt idx="2">
                  <c:v>Cyber Security</c:v>
                </c:pt>
                <c:pt idx="3">
                  <c:v>Digital Marketing</c:v>
                </c:pt>
                <c:pt idx="4">
                  <c:v>Digital Marketing </c:v>
                </c:pt>
                <c:pt idx="5">
                  <c:v>Graphic Designing</c:v>
                </c:pt>
                <c:pt idx="6">
                  <c:v>SEO</c:v>
                </c:pt>
                <c:pt idx="7">
                  <c:v>UX/UI Design</c:v>
                </c:pt>
                <c:pt idx="8">
                  <c:v>Web Development</c:v>
                </c:pt>
              </c:strCache>
            </c:strRef>
          </c:cat>
          <c:val>
            <c:numRef>
              <c:f>'Career Earnings Comparison'!$B$2:$B$11</c:f>
              <c:numCache>
                <c:formatCode>General</c:formatCode>
                <c:ptCount val="9"/>
                <c:pt idx="0">
                  <c:v>105000</c:v>
                </c:pt>
                <c:pt idx="1">
                  <c:v>68000</c:v>
                </c:pt>
                <c:pt idx="2">
                  <c:v>75000</c:v>
                </c:pt>
                <c:pt idx="3">
                  <c:v>11000</c:v>
                </c:pt>
                <c:pt idx="4">
                  <c:v>29000</c:v>
                </c:pt>
                <c:pt idx="5">
                  <c:v>166000</c:v>
                </c:pt>
                <c:pt idx="6">
                  <c:v>144000</c:v>
                </c:pt>
                <c:pt idx="7">
                  <c:v>161000</c:v>
                </c:pt>
                <c:pt idx="8">
                  <c:v>149000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E-4229-840C-BB61C5BB7A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554860784"/>
        <c:axId val="554859344"/>
      </c:barChart>
      <c:catAx>
        <c:axId val="5548607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859344"/>
        <c:crosses val="autoZero"/>
        <c:auto val="1"/>
        <c:lblAlgn val="ctr"/>
        <c:lblOffset val="100"/>
        <c:noMultiLvlLbl val="0"/>
      </c:catAx>
      <c:valAx>
        <c:axId val="554859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86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(2).xlsx]Career Earnings Comparison!PivotTable2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'Career Earnings Comparison'!$B$1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D0C-4B0B-B7A3-F40088F2FE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D0C-4B0B-B7A3-F40088F2FE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D0C-4B0B-B7A3-F40088F2FE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D0C-4B0B-B7A3-F40088F2FE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D0C-4B0B-B7A3-F40088F2FE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D0C-4B0B-B7A3-F40088F2FE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D0C-4B0B-B7A3-F40088F2FE2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D0C-4B0B-B7A3-F40088F2FE2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D0C-4B0B-B7A3-F40088F2FE26}"/>
              </c:ext>
            </c:extLst>
          </c:dPt>
          <c:cat>
            <c:strRef>
              <c:f>'Career Earnings Comparison'!$A$2:$A$11</c:f>
              <c:strCache>
                <c:ptCount val="9"/>
                <c:pt idx="0">
                  <c:v>CIT</c:v>
                </c:pt>
                <c:pt idx="1">
                  <c:v>Content Writing</c:v>
                </c:pt>
                <c:pt idx="2">
                  <c:v>Cyber Security</c:v>
                </c:pt>
                <c:pt idx="3">
                  <c:v>Digital Marketing</c:v>
                </c:pt>
                <c:pt idx="4">
                  <c:v>Digital Marketing </c:v>
                </c:pt>
                <c:pt idx="5">
                  <c:v>Graphic Designing</c:v>
                </c:pt>
                <c:pt idx="6">
                  <c:v>SEO</c:v>
                </c:pt>
                <c:pt idx="7">
                  <c:v>UX/UI Design</c:v>
                </c:pt>
                <c:pt idx="8">
                  <c:v>Web Development</c:v>
                </c:pt>
              </c:strCache>
            </c:strRef>
          </c:cat>
          <c:val>
            <c:numRef>
              <c:f>'Career Earnings Comparison'!$B$2:$B$11</c:f>
              <c:numCache>
                <c:formatCode>General</c:formatCode>
                <c:ptCount val="9"/>
                <c:pt idx="0">
                  <c:v>105000</c:v>
                </c:pt>
                <c:pt idx="1">
                  <c:v>68000</c:v>
                </c:pt>
                <c:pt idx="2">
                  <c:v>75000</c:v>
                </c:pt>
                <c:pt idx="3">
                  <c:v>11000</c:v>
                </c:pt>
                <c:pt idx="4">
                  <c:v>29000</c:v>
                </c:pt>
                <c:pt idx="5">
                  <c:v>166000</c:v>
                </c:pt>
                <c:pt idx="6">
                  <c:v>144000</c:v>
                </c:pt>
                <c:pt idx="7">
                  <c:v>161000</c:v>
                </c:pt>
                <c:pt idx="8">
                  <c:v>149000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8-4F06-B318-A7E698A49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(2).xlsx]Monthly Earnings by Student!PivotTable3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Earnings by Student'!$B$1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'Monthly Earnings by Student'!$A$2:$A$52</c:f>
              <c:strCache>
                <c:ptCount val="50"/>
                <c:pt idx="0">
                  <c:v>Aamir</c:v>
                </c:pt>
                <c:pt idx="1">
                  <c:v>Aania</c:v>
                </c:pt>
                <c:pt idx="2">
                  <c:v>Aashir</c:v>
                </c:pt>
                <c:pt idx="3">
                  <c:v>Aima</c:v>
                </c:pt>
                <c:pt idx="4">
                  <c:v>Aira</c:v>
                </c:pt>
                <c:pt idx="5">
                  <c:v>Ali</c:v>
                </c:pt>
                <c:pt idx="6">
                  <c:v>Alia</c:v>
                </c:pt>
                <c:pt idx="7">
                  <c:v>Atif</c:v>
                </c:pt>
                <c:pt idx="8">
                  <c:v>Bareera</c:v>
                </c:pt>
                <c:pt idx="9">
                  <c:v>Beenish</c:v>
                </c:pt>
                <c:pt idx="10">
                  <c:v>Calis</c:v>
                </c:pt>
                <c:pt idx="11">
                  <c:v>Dania</c:v>
                </c:pt>
                <c:pt idx="12">
                  <c:v>Danial</c:v>
                </c:pt>
                <c:pt idx="13">
                  <c:v>Danish</c:v>
                </c:pt>
                <c:pt idx="14">
                  <c:v>Erum</c:v>
                </c:pt>
                <c:pt idx="15">
                  <c:v>Esha</c:v>
                </c:pt>
                <c:pt idx="16">
                  <c:v>Farah</c:v>
                </c:pt>
                <c:pt idx="17">
                  <c:v>Fatima</c:v>
                </c:pt>
                <c:pt idx="18">
                  <c:v>Ghani</c:v>
                </c:pt>
                <c:pt idx="19">
                  <c:v>Hamza</c:v>
                </c:pt>
                <c:pt idx="20">
                  <c:v>Hanan</c:v>
                </c:pt>
                <c:pt idx="21">
                  <c:v>Hania</c:v>
                </c:pt>
                <c:pt idx="22">
                  <c:v>Hira</c:v>
                </c:pt>
                <c:pt idx="23">
                  <c:v>Horain</c:v>
                </c:pt>
                <c:pt idx="24">
                  <c:v>Imran</c:v>
                </c:pt>
                <c:pt idx="25">
                  <c:v>Iqra</c:v>
                </c:pt>
                <c:pt idx="26">
                  <c:v>Isha</c:v>
                </c:pt>
                <c:pt idx="27">
                  <c:v>Jerry</c:v>
                </c:pt>
                <c:pt idx="28">
                  <c:v>Kamir</c:v>
                </c:pt>
                <c:pt idx="29">
                  <c:v>Kashif</c:v>
                </c:pt>
                <c:pt idx="30">
                  <c:v>Kelix</c:v>
                </c:pt>
                <c:pt idx="31">
                  <c:v>Laiba</c:v>
                </c:pt>
                <c:pt idx="32">
                  <c:v>Lara</c:v>
                </c:pt>
                <c:pt idx="33">
                  <c:v>Lubna</c:v>
                </c:pt>
                <c:pt idx="34">
                  <c:v>Mahnoor</c:v>
                </c:pt>
                <c:pt idx="35">
                  <c:v>Maira</c:v>
                </c:pt>
                <c:pt idx="36">
                  <c:v>Mohsin</c:v>
                </c:pt>
                <c:pt idx="37">
                  <c:v>Naila</c:v>
                </c:pt>
                <c:pt idx="38">
                  <c:v>Nimra</c:v>
                </c:pt>
                <c:pt idx="39">
                  <c:v>Owais</c:v>
                </c:pt>
                <c:pt idx="40">
                  <c:v>Pahom</c:v>
                </c:pt>
                <c:pt idx="41">
                  <c:v>Pari</c:v>
                </c:pt>
                <c:pt idx="42">
                  <c:v>Pariwash</c:v>
                </c:pt>
                <c:pt idx="43">
                  <c:v>Rafia</c:v>
                </c:pt>
                <c:pt idx="44">
                  <c:v>Rahim</c:v>
                </c:pt>
                <c:pt idx="45">
                  <c:v>Sana</c:v>
                </c:pt>
                <c:pt idx="46">
                  <c:v>Sarah</c:v>
                </c:pt>
                <c:pt idx="47">
                  <c:v>Sufyan</c:v>
                </c:pt>
                <c:pt idx="48">
                  <c:v>Tabish</c:v>
                </c:pt>
                <c:pt idx="49">
                  <c:v>Tahir</c:v>
                </c:pt>
              </c:strCache>
            </c:strRef>
          </c:cat>
          <c:val>
            <c:numRef>
              <c:f>'Monthly Earnings by Student'!$B$2:$B$52</c:f>
              <c:numCache>
                <c:formatCode>General</c:formatCode>
                <c:ptCount val="50"/>
                <c:pt idx="0">
                  <c:v>12000</c:v>
                </c:pt>
                <c:pt idx="1">
                  <c:v>10000</c:v>
                </c:pt>
                <c:pt idx="2">
                  <c:v>18000</c:v>
                </c:pt>
                <c:pt idx="3">
                  <c:v>28000</c:v>
                </c:pt>
                <c:pt idx="4">
                  <c:v>8000</c:v>
                </c:pt>
                <c:pt idx="5">
                  <c:v>15000</c:v>
                </c:pt>
                <c:pt idx="6">
                  <c:v>22000</c:v>
                </c:pt>
                <c:pt idx="7">
                  <c:v>25000</c:v>
                </c:pt>
                <c:pt idx="8">
                  <c:v>14000</c:v>
                </c:pt>
                <c:pt idx="9">
                  <c:v>30000</c:v>
                </c:pt>
                <c:pt idx="10">
                  <c:v>20000</c:v>
                </c:pt>
                <c:pt idx="11">
                  <c:v>26000</c:v>
                </c:pt>
                <c:pt idx="12">
                  <c:v>17000</c:v>
                </c:pt>
                <c:pt idx="13">
                  <c:v>9000</c:v>
                </c:pt>
                <c:pt idx="14">
                  <c:v>11000</c:v>
                </c:pt>
                <c:pt idx="15">
                  <c:v>24000</c:v>
                </c:pt>
                <c:pt idx="16">
                  <c:v>29000</c:v>
                </c:pt>
                <c:pt idx="17">
                  <c:v>13000</c:v>
                </c:pt>
                <c:pt idx="18">
                  <c:v>16000</c:v>
                </c:pt>
                <c:pt idx="19">
                  <c:v>27000</c:v>
                </c:pt>
                <c:pt idx="20">
                  <c:v>19000</c:v>
                </c:pt>
                <c:pt idx="21">
                  <c:v>7000</c:v>
                </c:pt>
                <c:pt idx="22">
                  <c:v>15000</c:v>
                </c:pt>
                <c:pt idx="23">
                  <c:v>21000</c:v>
                </c:pt>
                <c:pt idx="24">
                  <c:v>23000</c:v>
                </c:pt>
                <c:pt idx="25">
                  <c:v>12000</c:v>
                </c:pt>
                <c:pt idx="26">
                  <c:v>8000</c:v>
                </c:pt>
                <c:pt idx="27">
                  <c:v>31000</c:v>
                </c:pt>
                <c:pt idx="28">
                  <c:v>10000</c:v>
                </c:pt>
                <c:pt idx="29">
                  <c:v>20000</c:v>
                </c:pt>
                <c:pt idx="30">
                  <c:v>14000</c:v>
                </c:pt>
                <c:pt idx="31">
                  <c:v>25000</c:v>
                </c:pt>
                <c:pt idx="32">
                  <c:v>9000</c:v>
                </c:pt>
                <c:pt idx="33">
                  <c:v>18000</c:v>
                </c:pt>
                <c:pt idx="34">
                  <c:v>28000</c:v>
                </c:pt>
                <c:pt idx="35">
                  <c:v>16000</c:v>
                </c:pt>
                <c:pt idx="36">
                  <c:v>11000</c:v>
                </c:pt>
                <c:pt idx="37">
                  <c:v>13000</c:v>
                </c:pt>
                <c:pt idx="38">
                  <c:v>22000</c:v>
                </c:pt>
                <c:pt idx="39">
                  <c:v>26000</c:v>
                </c:pt>
                <c:pt idx="40">
                  <c:v>7000</c:v>
                </c:pt>
                <c:pt idx="41">
                  <c:v>24000</c:v>
                </c:pt>
                <c:pt idx="42">
                  <c:v>17000</c:v>
                </c:pt>
                <c:pt idx="43">
                  <c:v>30000</c:v>
                </c:pt>
                <c:pt idx="44">
                  <c:v>15000</c:v>
                </c:pt>
                <c:pt idx="45">
                  <c:v>27000</c:v>
                </c:pt>
                <c:pt idx="46">
                  <c:v>12000</c:v>
                </c:pt>
                <c:pt idx="47">
                  <c:v>19000</c:v>
                </c:pt>
                <c:pt idx="48">
                  <c:v>21000</c:v>
                </c:pt>
                <c:pt idx="49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8D-454C-B4B3-B6B5F620E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26608904"/>
        <c:axId val="426609264"/>
      </c:barChart>
      <c:catAx>
        <c:axId val="426608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609264"/>
        <c:crosses val="autoZero"/>
        <c:auto val="1"/>
        <c:lblAlgn val="ctr"/>
        <c:lblOffset val="100"/>
        <c:noMultiLvlLbl val="0"/>
      </c:catAx>
      <c:valAx>
        <c:axId val="426609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60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10</xdr:col>
      <xdr:colOff>266700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5FF56B-D408-E2CE-3448-748856BB2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276225</xdr:colOff>
      <xdr:row>0</xdr:row>
      <xdr:rowOff>4762</xdr:rowOff>
    </xdr:from>
    <xdr:to>
      <xdr:col>18</xdr:col>
      <xdr:colOff>95250</xdr:colOff>
      <xdr:row>14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2C8FD3-ACF9-B9A3-797C-6454B12B7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419098</xdr:colOff>
      <xdr:row>0</xdr:row>
      <xdr:rowOff>0</xdr:rowOff>
    </xdr:from>
    <xdr:to>
      <xdr:col>13</xdr:col>
      <xdr:colOff>15239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60F9D-1A15-8695-8E16-6C8122388F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sTech" refreshedDate="46184.980557523151" createdVersion="8" refreshedVersion="8" minRefreshableVersion="3" recordCount="50" xr:uid="{1B1CCA10-3A0B-4673-A9CC-3AD2B4512F04}">
  <cacheSource type="worksheet">
    <worksheetSource name="Table3"/>
  </cacheSource>
  <cacheFields count="11">
    <cacheField name="STUDENT ID " numFmtId="0">
      <sharedItems/>
    </cacheField>
    <cacheField name="NAME" numFmtId="0">
      <sharedItems count="50">
        <s v="Hania"/>
        <s v="Pahom"/>
        <s v="Aira"/>
        <s v="Isha"/>
        <s v="Danish"/>
        <s v="Lara"/>
        <s v="Aania"/>
        <s v="Kamir"/>
        <s v="Erum"/>
        <s v="Mohsin"/>
        <s v="Aamir"/>
        <s v="Iqra"/>
        <s v="Sarah"/>
        <s v="Fatima"/>
        <s v="Naila"/>
        <s v="Bareera"/>
        <s v="Kelix"/>
        <s v="Tahir"/>
        <s v="Ali"/>
        <s v="Hira"/>
        <s v="Rahim"/>
        <s v="Ghani"/>
        <s v="Maira"/>
        <s v="Danial"/>
        <s v="Pariwash"/>
        <s v="Aashir"/>
        <s v="Lubna"/>
        <s v="Hanan"/>
        <s v="Sufyan"/>
        <s v="Calis"/>
        <s v="Kashif"/>
        <s v="Horain"/>
        <s v="Tabish"/>
        <s v="Alia"/>
        <s v="Nimra"/>
        <s v="Imran"/>
        <s v="Esha"/>
        <s v="Pari"/>
        <s v="Atif"/>
        <s v="Laiba"/>
        <s v="Dania"/>
        <s v="Owais"/>
        <s v="Hamza"/>
        <s v="Sana"/>
        <s v="Aima"/>
        <s v="Mahnoor"/>
        <s v="Farah"/>
        <s v="Beenish"/>
        <s v="Rafia"/>
        <s v="Jerry"/>
      </sharedItems>
    </cacheField>
    <cacheField name="AGE " numFmtId="0">
      <sharedItems containsSemiMixedTypes="0" containsString="0" containsNumber="1" containsInteger="1" minValue="18" maxValue="29"/>
    </cacheField>
    <cacheField name="INTEREST" numFmtId="0">
      <sharedItems count="9">
        <s v="SEO"/>
        <s v="Content Writing"/>
        <s v="Digital Marketing "/>
        <s v="Web Development"/>
        <s v="Graphic Designing"/>
        <s v="Cyber Security"/>
        <s v="Digital Marketing"/>
        <s v="UX/UI Design"/>
        <s v="CIT"/>
      </sharedItems>
    </cacheField>
    <cacheField name="CAREER GOAL" numFmtId="0">
      <sharedItems/>
    </cacheField>
    <cacheField name="SKILLS" numFmtId="0">
      <sharedItems containsBlank="1"/>
    </cacheField>
    <cacheField name="COURSE COMPLETED " numFmtId="0">
      <sharedItems/>
    </cacheField>
    <cacheField name="PROGRESS%" numFmtId="0">
      <sharedItems containsSemiMixedTypes="0" containsString="0" containsNumber="1" containsInteger="1" minValue="50" maxValue="100"/>
    </cacheField>
    <cacheField name="FREELANCING PLATFORM" numFmtId="0">
      <sharedItems/>
    </cacheField>
    <cacheField name="MONTHLY EARNINGS" numFmtId="0">
      <sharedItems containsSemiMixedTypes="0" containsString="0" containsNumber="1" containsInteger="1" minValue="7000" maxValue="3100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S020"/>
    <x v="0"/>
    <n v="21"/>
    <x v="0"/>
    <s v="SEO Specialist "/>
    <s v="Keyword Research, On-Page SEO"/>
    <s v="No"/>
    <n v="50"/>
    <s v="Upwork"/>
    <n v="7000"/>
    <s v="Beginner"/>
  </r>
  <r>
    <s v="S042"/>
    <x v="1"/>
    <n v="19"/>
    <x v="1"/>
    <s v="Content Writer"/>
    <s v="SEO Writing, Blogging, Copywriting"/>
    <s v="No"/>
    <n v="50"/>
    <s v="Freelancing"/>
    <n v="7000"/>
    <s v="Beginner"/>
  </r>
  <r>
    <s v="S003"/>
    <x v="2"/>
    <n v="23"/>
    <x v="2"/>
    <s v="Digital Marketing Specialist"/>
    <s v="SEO, Social Media Marketing, Google Ads"/>
    <s v="Yes"/>
    <n v="100"/>
    <s v="Upwork"/>
    <n v="8000"/>
    <s v="Beginner"/>
  </r>
  <r>
    <s v="S027"/>
    <x v="3"/>
    <n v="20"/>
    <x v="2"/>
    <s v="Digital Marketing Specialist"/>
    <s v="SEO, Social Media Marketing, Google Ads"/>
    <s v="Yes"/>
    <n v="100"/>
    <s v="Freelancing"/>
    <n v="8000"/>
    <s v="Beginner"/>
  </r>
  <r>
    <s v="S012"/>
    <x v="4"/>
    <n v="21"/>
    <x v="3"/>
    <s v="Full Stack Developer"/>
    <s v="HTML, CSS, JavaScript"/>
    <s v="No"/>
    <n v="50"/>
    <s v="Freelancing"/>
    <n v="9000"/>
    <s v="Beginner"/>
  </r>
  <r>
    <s v="S034"/>
    <x v="5"/>
    <n v="23"/>
    <x v="4"/>
    <s v="Graphic Designer"/>
    <s v="Photoshop, Illustrator, Canva"/>
    <s v="Yes"/>
    <n v="100"/>
    <s v="Fiverr"/>
    <n v="9000"/>
    <s v="Beginner"/>
  </r>
  <r>
    <s v="S008"/>
    <x v="6"/>
    <n v="29"/>
    <x v="0"/>
    <s v="SEO Specialist "/>
    <s v="Keyword Research, On-Page SEO"/>
    <s v="No"/>
    <n v="50"/>
    <s v="Upwork"/>
    <n v="10000"/>
    <s v="Beginner"/>
  </r>
  <r>
    <s v="S031"/>
    <x v="7"/>
    <n v="19"/>
    <x v="5"/>
    <s v="Cyber Security Analyst"/>
    <m/>
    <s v="Yes"/>
    <n v="100"/>
    <s v="Fiverr"/>
    <n v="10000"/>
    <s v="Beginner"/>
  </r>
  <r>
    <s v="S015"/>
    <x v="8"/>
    <n v="19"/>
    <x v="6"/>
    <s v="Digital Marketing Specialist"/>
    <s v="SEO, Social Media Marketing, Google Ads"/>
    <s v="Yes"/>
    <n v="100"/>
    <s v="Upwork"/>
    <n v="11000"/>
    <s v="Beginner"/>
  </r>
  <r>
    <s v="S037"/>
    <x v="9"/>
    <n v="21"/>
    <x v="3"/>
    <s v="Full Stack Developer"/>
    <s v="HTML, CSS, JavaScript"/>
    <s v="Yes"/>
    <n v="100"/>
    <s v="Freelancing"/>
    <n v="11000"/>
    <s v="Beginner"/>
  </r>
  <r>
    <s v="S006"/>
    <x v="10"/>
    <n v="20"/>
    <x v="1"/>
    <s v="Content Writer"/>
    <s v="SEO Writing, Blogging, Copywriting"/>
    <s v="No"/>
    <n v="50"/>
    <s v="Fiverr"/>
    <n v="12000"/>
    <s v="Beginner"/>
  </r>
  <r>
    <s v="S025"/>
    <x v="11"/>
    <n v="20"/>
    <x v="3"/>
    <s v="Full Stack Developer"/>
    <s v="HTML, CSS, JavaScript"/>
    <s v="Yes"/>
    <n v="100"/>
    <s v="Upwork"/>
    <n v="12000"/>
    <s v="Beginner"/>
  </r>
  <r>
    <s v="S047"/>
    <x v="12"/>
    <n v="22"/>
    <x v="0"/>
    <s v="SEO Specialist"/>
    <s v="Keyword Research, On-Page SEO"/>
    <s v="Yes"/>
    <n v="100"/>
    <s v="Freelancing"/>
    <n v="12000"/>
    <s v="Beginner"/>
  </r>
  <r>
    <s v="S017"/>
    <x v="13"/>
    <n v="19"/>
    <x v="7"/>
    <s v="UX/UI Designer"/>
    <s v="Figma, Adobe XD, Wireframing"/>
    <s v="Yes"/>
    <n v="100"/>
    <s v="Freelancing"/>
    <n v="13000"/>
    <s v="Beginner"/>
  </r>
  <r>
    <s v="S039"/>
    <x v="14"/>
    <n v="18"/>
    <x v="2"/>
    <s v="Digital Marketing Specialist"/>
    <s v="SEO, Social Media Marketing, Google Ads"/>
    <s v="Yes"/>
    <n v="100"/>
    <s v="Fiverr"/>
    <n v="13000"/>
    <s v="Beginner"/>
  </r>
  <r>
    <s v="S010"/>
    <x v="15"/>
    <n v="18"/>
    <x v="4"/>
    <s v="Graphic Designer"/>
    <s v="Photoshop, Illustrator, Canva"/>
    <s v="Yes"/>
    <n v="100"/>
    <s v="Upwork"/>
    <n v="14000"/>
    <s v="Beginner"/>
  </r>
  <r>
    <s v="S029"/>
    <x v="16"/>
    <n v="18"/>
    <x v="7"/>
    <s v="UX/UI Designer"/>
    <s v="Figma, Adobe XD, Wireframing"/>
    <s v="Yes"/>
    <n v="100"/>
    <s v="Fiverr"/>
    <n v="14000"/>
    <s v="Beginner"/>
  </r>
  <r>
    <s v="S049"/>
    <x v="17"/>
    <n v="19"/>
    <x v="3"/>
    <s v="Full Stack Developer"/>
    <s v="HTML, CSS, JavaScript"/>
    <s v="Yes"/>
    <n v="100"/>
    <s v="Fiverr"/>
    <n v="14000"/>
    <s v="Beginner"/>
  </r>
  <r>
    <s v="S001"/>
    <x v="18"/>
    <n v="18"/>
    <x v="3"/>
    <s v="Full Stack Developer"/>
    <s v="HTML, CSS, JavaScript"/>
    <s v="Yes"/>
    <n v="100"/>
    <s v="Fiverr"/>
    <n v="15000"/>
    <s v="Intermediate"/>
  </r>
  <r>
    <s v="S022"/>
    <x v="19"/>
    <n v="20"/>
    <x v="4"/>
    <s v="Graphic Designer"/>
    <s v="Photoshop, Illustrator, Canva"/>
    <s v="Yes"/>
    <n v="100"/>
    <s v="Freelancing"/>
    <n v="15000"/>
    <s v="Intermediate"/>
  </r>
  <r>
    <s v="S044"/>
    <x v="20"/>
    <n v="18"/>
    <x v="0"/>
    <s v="SEO Specialist"/>
    <s v="Keyword Research, On-Page SEO"/>
    <s v="No"/>
    <n v="50"/>
    <s v="Fiverr"/>
    <n v="15000"/>
    <s v="Intermediate"/>
  </r>
  <r>
    <s v="S019"/>
    <x v="21"/>
    <n v="20"/>
    <x v="5"/>
    <s v="Cyber Security Analyst"/>
    <s v="Network Security, Linux, Ethical Hacking"/>
    <s v="Yes"/>
    <n v="100"/>
    <s v="Fiverr"/>
    <n v="16000"/>
    <s v="Intermediate"/>
  </r>
  <r>
    <s v="S036"/>
    <x v="22"/>
    <n v="22"/>
    <x v="3"/>
    <s v="Full Stack Developer"/>
    <s v="HTML, CSS, JavaScript"/>
    <s v="No"/>
    <n v="50"/>
    <s v="Fiverr"/>
    <n v="16000"/>
    <s v="Intermediate"/>
  </r>
  <r>
    <s v="S014"/>
    <x v="23"/>
    <n v="20"/>
    <x v="8"/>
    <s v="IT Support Specialist"/>
    <s v="MS Office, Networking, Troubleshooting"/>
    <s v="No"/>
    <n v="50"/>
    <s v="Fiverr"/>
    <n v="17000"/>
    <s v="Intermediate"/>
  </r>
  <r>
    <s v="S041"/>
    <x v="24"/>
    <n v="18"/>
    <x v="7"/>
    <s v="UX/UI Designer"/>
    <s v="Figma, Adobe XD, Wireframing"/>
    <s v="Yes"/>
    <n v="100"/>
    <s v="Fiverr"/>
    <n v="17000"/>
    <s v="Intermediate"/>
  </r>
  <r>
    <s v="S005"/>
    <x v="25"/>
    <n v="18"/>
    <x v="7"/>
    <s v="UX/UI Designer"/>
    <s v="Figma, Adobe XD, Wireframing"/>
    <s v="Yes"/>
    <n v="100"/>
    <s v="Upwork"/>
    <n v="18000"/>
    <s v="Intermediate"/>
  </r>
  <r>
    <s v="S033"/>
    <x v="26"/>
    <n v="20"/>
    <x v="7"/>
    <s v="UX/UI Designer"/>
    <s v="Figma, Adobe XD, Wireframing"/>
    <s v="Yes"/>
    <n v="100"/>
    <s v="Upwork"/>
    <n v="18000"/>
    <s v="Intermediate"/>
  </r>
  <r>
    <s v="S024"/>
    <x v="27"/>
    <n v="19"/>
    <x v="3"/>
    <s v="Full Stack Developer"/>
    <s v="HTML, CSS, JavaScript"/>
    <s v="No"/>
    <n v="50"/>
    <s v="Fiverr"/>
    <n v="19000"/>
    <s v="Intermediate"/>
  </r>
  <r>
    <s v="S046"/>
    <x v="28"/>
    <n v="21"/>
    <x v="4"/>
    <s v="Graphic Designer"/>
    <s v="Photoshop, Illustrator, Canva"/>
    <s v="Yes"/>
    <n v="100"/>
    <s v="Fiverr"/>
    <n v="19000"/>
    <s v="Intermediate"/>
  </r>
  <r>
    <s v="S011"/>
    <x v="29"/>
    <n v="20"/>
    <x v="0"/>
    <s v="SEO Specialist"/>
    <s v="Keyword Research, On-Page SEO"/>
    <s v="Yes"/>
    <n v="100"/>
    <s v="Fiverr"/>
    <n v="20000"/>
    <s v="Intermediate"/>
  </r>
  <r>
    <s v="S030"/>
    <x v="30"/>
    <n v="18"/>
    <x v="1"/>
    <s v="IT Support Specialist"/>
    <s v="SEO Writing, Blogging, Copywriting"/>
    <s v="No"/>
    <n v="50"/>
    <s v="Upwork"/>
    <n v="20000"/>
    <s v="Intermediate"/>
  </r>
  <r>
    <s v="S021"/>
    <x v="31"/>
    <n v="22"/>
    <x v="7"/>
    <s v="UX/UI Designer"/>
    <s v="Figma, Adobe XD, Wireframing"/>
    <s v="Yes"/>
    <n v="100"/>
    <s v="Fiverr"/>
    <n v="21000"/>
    <s v="Intermediate"/>
  </r>
  <r>
    <s v="S050"/>
    <x v="32"/>
    <n v="18"/>
    <x v="8"/>
    <s v="IT Support Specialist"/>
    <s v="MS Office, Networking, Troubleshooting"/>
    <s v="No"/>
    <n v="50"/>
    <s v="Upwork"/>
    <n v="21000"/>
    <s v="Intermediate"/>
  </r>
  <r>
    <s v="S002"/>
    <x v="33"/>
    <n v="19"/>
    <x v="8"/>
    <s v="IT Support Specialist"/>
    <s v="MS Office, Networking, Troubleshooting"/>
    <s v="No"/>
    <n v="50"/>
    <s v="Freelancing"/>
    <n v="22000"/>
    <s v="Intermediate"/>
  </r>
  <r>
    <s v="S038"/>
    <x v="34"/>
    <n v="20"/>
    <x v="8"/>
    <s v="IT Support Specialist"/>
    <s v="MS Office, Networking, Troubleshooting"/>
    <s v="No"/>
    <n v="50"/>
    <s v="Upwork"/>
    <n v="22000"/>
    <s v="Intermediate"/>
  </r>
  <r>
    <s v="S026"/>
    <x v="35"/>
    <n v="18"/>
    <x v="8"/>
    <s v="IT Support Specialist"/>
    <s v="MS Office, Networking, Troubleshooting"/>
    <s v="No"/>
    <n v="50"/>
    <s v="Fiverr"/>
    <n v="23000"/>
    <s v="Intermediate"/>
  </r>
  <r>
    <s v="S016"/>
    <x v="36"/>
    <n v="18"/>
    <x v="4"/>
    <s v="Graphic Designer"/>
    <s v="Photoshop, Illustrator, Canva"/>
    <s v="Yes"/>
    <n v="100"/>
    <s v="Fiverr"/>
    <n v="24000"/>
    <s v="Intermediate"/>
  </r>
  <r>
    <s v="S043"/>
    <x v="37"/>
    <n v="19"/>
    <x v="5"/>
    <s v="Cyber Security Analyst"/>
    <s v="Network Security, Linux, Ethical Hacking"/>
    <s v="Yes"/>
    <n v="100"/>
    <s v="Upwork"/>
    <n v="24000"/>
    <s v="Intermediate"/>
  </r>
  <r>
    <s v="S007"/>
    <x v="38"/>
    <n v="25"/>
    <x v="5"/>
    <s v="Cyber Security Analyst"/>
    <s v="Network Security, Linux, Ethical Hacking"/>
    <s v="Yes"/>
    <n v="100"/>
    <s v="Freelancing"/>
    <n v="25000"/>
    <s v="Expert"/>
  </r>
  <r>
    <s v="S032"/>
    <x v="39"/>
    <n v="18"/>
    <x v="0"/>
    <s v="SEO Specialist"/>
    <s v="Keyword Research, On-Page SEO"/>
    <s v="No"/>
    <n v="50"/>
    <s v="Freelancing"/>
    <n v="25000"/>
    <s v="Expert"/>
  </r>
  <r>
    <s v="S013"/>
    <x v="40"/>
    <n v="24"/>
    <x v="3"/>
    <s v="Full Stack Developer"/>
    <s v="HTML, CSS, JavaScript"/>
    <s v="Yes"/>
    <n v="100"/>
    <s v="Upwork"/>
    <n v="26000"/>
    <s v="Expert"/>
  </r>
  <r>
    <s v="S040"/>
    <x v="41"/>
    <n v="20"/>
    <x v="4"/>
    <s v="Graphic Designer"/>
    <s v="SEO Writing, Blogging, Copywriting"/>
    <s v="Yes"/>
    <n v="100"/>
    <s v="Upwork"/>
    <n v="26000"/>
    <s v="Expert"/>
  </r>
  <r>
    <s v="S023"/>
    <x v="42"/>
    <n v="21"/>
    <x v="0"/>
    <s v="SEO Specialist"/>
    <s v="Keyword Research, On-Page SEO"/>
    <s v="Yes"/>
    <n v="100"/>
    <s v="Upwork"/>
    <n v="27000"/>
    <s v="Expert"/>
  </r>
  <r>
    <s v="S048"/>
    <x v="43"/>
    <n v="20"/>
    <x v="3"/>
    <s v="Full Stack Developer"/>
    <s v="HTML, CSS, JavaScript"/>
    <s v="No"/>
    <n v="50"/>
    <s v="Upwork"/>
    <n v="27000"/>
    <s v="Expert"/>
  </r>
  <r>
    <s v="S004"/>
    <x v="44"/>
    <n v="21"/>
    <x v="4"/>
    <s v="Graphic Designer"/>
    <s v="Photoshop, Illustrator, Canva"/>
    <s v="Yes"/>
    <n v="100"/>
    <s v="Fiverr"/>
    <n v="28000"/>
    <s v="Expert"/>
  </r>
  <r>
    <s v="S035"/>
    <x v="45"/>
    <n v="21"/>
    <x v="0"/>
    <s v="SEO Specialist"/>
    <s v="Keyword Research, On-Page SEO"/>
    <s v="Yes"/>
    <n v="100"/>
    <s v="Upwork"/>
    <n v="28000"/>
    <s v="Expert"/>
  </r>
  <r>
    <s v="S018"/>
    <x v="46"/>
    <n v="19"/>
    <x v="1"/>
    <s v="Content Writer"/>
    <s v="SEO Writing, Blogging, Copywriting"/>
    <s v="No"/>
    <n v="50"/>
    <s v="Upwork"/>
    <n v="29000"/>
    <s v="Expert"/>
  </r>
  <r>
    <s v="S009"/>
    <x v="47"/>
    <n v="18"/>
    <x v="7"/>
    <s v="UX/UI Designer"/>
    <s v="Figma, Adobe XD, Wireframing"/>
    <s v="Yes"/>
    <n v="100"/>
    <s v="Fiverr"/>
    <n v="30000"/>
    <s v="Expert"/>
  </r>
  <r>
    <s v="S045"/>
    <x v="48"/>
    <n v="20"/>
    <x v="7"/>
    <s v="Graphic Designer"/>
    <s v="Photoshop, Illustrator, Canva"/>
    <s v="Yes"/>
    <n v="100"/>
    <s v="Upwork"/>
    <n v="30000"/>
    <s v="Expert"/>
  </r>
  <r>
    <s v="S028"/>
    <x v="49"/>
    <n v="19"/>
    <x v="4"/>
    <s v="Graphic Designer"/>
    <s v="Photoshop, Illustrator, Canva"/>
    <s v="Yes"/>
    <n v="100"/>
    <s v="Upwork"/>
    <n v="31000"/>
    <s v="Exper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4DA4E-89A4-4706-9DBC-8EA19026C21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:B11" firstHeaderRow="1" firstDataRow="1" firstDataCol="1"/>
  <pivotFields count="11">
    <pivotField showAll="0"/>
    <pivotField showAll="0"/>
    <pivotField showAll="0"/>
    <pivotField axis="axisRow" showAll="0">
      <items count="10">
        <item x="8"/>
        <item x="1"/>
        <item x="5"/>
        <item x="6"/>
        <item x="2"/>
        <item x="4"/>
        <item x="0"/>
        <item x="7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MONTHLY EARNINGS" fld="9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2941D-67E1-42C1-B6B6-B4B36BFC380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:B52" firstHeaderRow="1" firstDataRow="1" firstDataCol="1"/>
  <pivotFields count="11">
    <pivotField showAll="0"/>
    <pivotField axis="axisRow" showAll="0">
      <items count="51">
        <item x="10"/>
        <item x="6"/>
        <item x="25"/>
        <item x="44"/>
        <item x="2"/>
        <item x="18"/>
        <item x="33"/>
        <item x="38"/>
        <item x="15"/>
        <item x="47"/>
        <item x="29"/>
        <item x="40"/>
        <item x="23"/>
        <item x="4"/>
        <item x="8"/>
        <item x="36"/>
        <item x="46"/>
        <item x="13"/>
        <item x="21"/>
        <item x="42"/>
        <item x="27"/>
        <item x="0"/>
        <item x="19"/>
        <item x="31"/>
        <item x="35"/>
        <item x="11"/>
        <item x="3"/>
        <item x="49"/>
        <item x="7"/>
        <item x="30"/>
        <item x="16"/>
        <item x="39"/>
        <item x="5"/>
        <item x="26"/>
        <item x="45"/>
        <item x="22"/>
        <item x="9"/>
        <item x="14"/>
        <item x="34"/>
        <item x="41"/>
        <item x="1"/>
        <item x="37"/>
        <item x="24"/>
        <item x="48"/>
        <item x="20"/>
        <item x="43"/>
        <item x="12"/>
        <item x="28"/>
        <item x="32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MONTHLY EARNING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53B720-763F-4B80-BE42-D1345EC6EA53}" name="Table3" displayName="Table3" ref="A2:K52" totalsRowShown="0" headerRowDxfId="18" dataDxfId="16" headerRowBorderDxfId="17" tableBorderDxfId="15" totalsRowBorderDxfId="14">
  <autoFilter ref="A2:K52" xr:uid="{B053B720-763F-4B80-BE42-D1345EC6EA53}"/>
  <sortState xmlns:xlrd2="http://schemas.microsoft.com/office/spreadsheetml/2017/richdata2" ref="A3:K52">
    <sortCondition ref="J2:J52"/>
  </sortState>
  <tableColumns count="11">
    <tableColumn id="1" xr3:uid="{A0FCC81E-11FC-4A00-A133-2D9A1B1427F1}" name="STUDENT ID " dataDxfId="13"/>
    <tableColumn id="2" xr3:uid="{4032CD89-9E7C-4528-B870-1193ADF76CEB}" name="NAME" dataDxfId="12"/>
    <tableColumn id="3" xr3:uid="{A4B0F139-1FED-4D1B-92B9-CFA76186D881}" name="AGE " dataDxfId="11"/>
    <tableColumn id="4" xr3:uid="{D7B95C8D-B6BC-4D10-9A26-5A829C05BB65}" name="INTEREST" dataDxfId="10"/>
    <tableColumn id="5" xr3:uid="{BD96FCB2-4F17-43C8-8A09-30597986EC56}" name="CAREER GOAL" dataDxfId="9"/>
    <tableColumn id="6" xr3:uid="{AFE0E43A-59AE-45DA-B5F1-63F3611D4E14}" name="SKILLS" dataDxfId="8"/>
    <tableColumn id="7" xr3:uid="{DFBB57F0-2BAD-42CF-9A74-714314391A01}" name="COURSE COMPLETED " dataDxfId="7"/>
    <tableColumn id="8" xr3:uid="{A0F3A593-3CC0-4F76-9C31-8D226D8EEA9B}" name="PROGRESS%" dataDxfId="6">
      <calculatedColumnFormula>IF(G3="Yes",100,50)</calculatedColumnFormula>
    </tableColumn>
    <tableColumn id="9" xr3:uid="{BD4DDE12-FCAD-4EF3-9D94-3A5A37256845}" name="FREELANCING PLATFORM" dataDxfId="5"/>
    <tableColumn id="10" xr3:uid="{AF404F18-07CC-4676-B8A5-A69A41852C3E}" name="MONTHLY EARNINGS" dataDxfId="4"/>
    <tableColumn id="11" xr3:uid="{E86384AF-E3E1-4581-9489-3A65D79C0E72}" name="STATUS" dataDxfId="3">
      <calculatedColumnFormula>IF(J3&gt;=25000,"Expert",IF(J3&gt;=15000,"Intermediate","Beginner"))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DC14-040B-40E0-9226-606180F9625E}">
  <dimension ref="A1:B11"/>
  <sheetViews>
    <sheetView workbookViewId="0">
      <selection activeCell="L21" sqref="L21"/>
    </sheetView>
  </sheetViews>
  <sheetFormatPr defaultRowHeight="14.4"/>
  <cols>
    <col min="1" max="1" width="18" bestFit="1" customWidth="1"/>
    <col min="2" max="2" width="26.88671875" bestFit="1" customWidth="1"/>
  </cols>
  <sheetData>
    <row r="1" spans="1:2">
      <c r="A1" s="17" t="s">
        <v>155</v>
      </c>
      <c r="B1" t="s">
        <v>157</v>
      </c>
    </row>
    <row r="2" spans="1:2">
      <c r="A2" s="18" t="s">
        <v>113</v>
      </c>
      <c r="B2">
        <v>105000</v>
      </c>
    </row>
    <row r="3" spans="1:2">
      <c r="A3" s="18" t="s">
        <v>116</v>
      </c>
      <c r="B3">
        <v>68000</v>
      </c>
    </row>
    <row r="4" spans="1:2">
      <c r="A4" s="18" t="s">
        <v>117</v>
      </c>
      <c r="B4">
        <v>75000</v>
      </c>
    </row>
    <row r="5" spans="1:2">
      <c r="A5" s="18" t="s">
        <v>149</v>
      </c>
      <c r="B5">
        <v>11000</v>
      </c>
    </row>
    <row r="6" spans="1:2">
      <c r="A6" s="18" t="s">
        <v>114</v>
      </c>
      <c r="B6">
        <v>29000</v>
      </c>
    </row>
    <row r="7" spans="1:2">
      <c r="A7" s="18" t="s">
        <v>115</v>
      </c>
      <c r="B7">
        <v>166000</v>
      </c>
    </row>
    <row r="8" spans="1:2">
      <c r="A8" s="18" t="s">
        <v>118</v>
      </c>
      <c r="B8">
        <v>144000</v>
      </c>
    </row>
    <row r="9" spans="1:2">
      <c r="A9" s="18" t="s">
        <v>152</v>
      </c>
      <c r="B9">
        <v>161000</v>
      </c>
    </row>
    <row r="10" spans="1:2">
      <c r="A10" s="18" t="s">
        <v>112</v>
      </c>
      <c r="B10">
        <v>149000</v>
      </c>
    </row>
    <row r="11" spans="1:2">
      <c r="A11" s="18" t="s">
        <v>156</v>
      </c>
      <c r="B11">
        <v>908000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A901-904B-49B7-B5CF-C67DC0AB178F}">
  <dimension ref="A1:B52"/>
  <sheetViews>
    <sheetView workbookViewId="0">
      <selection activeCell="N13" sqref="N13"/>
    </sheetView>
  </sheetViews>
  <sheetFormatPr defaultRowHeight="14.4"/>
  <cols>
    <col min="1" max="1" width="13.109375" bestFit="1" customWidth="1"/>
    <col min="2" max="2" width="26.88671875" bestFit="1" customWidth="1"/>
  </cols>
  <sheetData>
    <row r="1" spans="1:2">
      <c r="A1" s="17" t="s">
        <v>155</v>
      </c>
      <c r="B1" t="s">
        <v>157</v>
      </c>
    </row>
    <row r="2" spans="1:2">
      <c r="A2" s="18" t="s">
        <v>73</v>
      </c>
      <c r="B2">
        <v>12000</v>
      </c>
    </row>
    <row r="3" spans="1:2">
      <c r="A3" s="18" t="s">
        <v>75</v>
      </c>
      <c r="B3">
        <v>10000</v>
      </c>
    </row>
    <row r="4" spans="1:2">
      <c r="A4" s="18" t="s">
        <v>72</v>
      </c>
      <c r="B4">
        <v>18000</v>
      </c>
    </row>
    <row r="5" spans="1:2">
      <c r="A5" s="18" t="s">
        <v>71</v>
      </c>
      <c r="B5">
        <v>28000</v>
      </c>
    </row>
    <row r="6" spans="1:2">
      <c r="A6" s="18" t="s">
        <v>70</v>
      </c>
      <c r="B6">
        <v>8000</v>
      </c>
    </row>
    <row r="7" spans="1:2">
      <c r="A7" s="18" t="s">
        <v>1</v>
      </c>
      <c r="B7">
        <v>15000</v>
      </c>
    </row>
    <row r="8" spans="1:2">
      <c r="A8" s="18" t="s">
        <v>69</v>
      </c>
      <c r="B8">
        <v>22000</v>
      </c>
    </row>
    <row r="9" spans="1:2">
      <c r="A9" s="18" t="s">
        <v>74</v>
      </c>
      <c r="B9">
        <v>25000</v>
      </c>
    </row>
    <row r="10" spans="1:2">
      <c r="A10" s="18" t="s">
        <v>77</v>
      </c>
      <c r="B10">
        <v>14000</v>
      </c>
    </row>
    <row r="11" spans="1:2">
      <c r="A11" s="18" t="s">
        <v>76</v>
      </c>
      <c r="B11">
        <v>30000</v>
      </c>
    </row>
    <row r="12" spans="1:2">
      <c r="A12" s="18" t="s">
        <v>78</v>
      </c>
      <c r="B12">
        <v>20000</v>
      </c>
    </row>
    <row r="13" spans="1:2">
      <c r="A13" s="18" t="s">
        <v>80</v>
      </c>
      <c r="B13">
        <v>26000</v>
      </c>
    </row>
    <row r="14" spans="1:2">
      <c r="A14" s="18" t="s">
        <v>81</v>
      </c>
      <c r="B14">
        <v>17000</v>
      </c>
    </row>
    <row r="15" spans="1:2">
      <c r="A15" s="18" t="s">
        <v>79</v>
      </c>
      <c r="B15">
        <v>9000</v>
      </c>
    </row>
    <row r="16" spans="1:2">
      <c r="A16" s="18" t="s">
        <v>82</v>
      </c>
      <c r="B16">
        <v>11000</v>
      </c>
    </row>
    <row r="17" spans="1:2">
      <c r="A17" s="18" t="s">
        <v>83</v>
      </c>
      <c r="B17">
        <v>24000</v>
      </c>
    </row>
    <row r="18" spans="1:2">
      <c r="A18" s="18" t="s">
        <v>84</v>
      </c>
      <c r="B18">
        <v>29000</v>
      </c>
    </row>
    <row r="19" spans="1:2">
      <c r="A19" s="18" t="s">
        <v>9</v>
      </c>
      <c r="B19">
        <v>13000</v>
      </c>
    </row>
    <row r="20" spans="1:2">
      <c r="A20" s="18" t="s">
        <v>85</v>
      </c>
      <c r="B20">
        <v>16000</v>
      </c>
    </row>
    <row r="21" spans="1:2">
      <c r="A21" s="18" t="s">
        <v>13</v>
      </c>
      <c r="B21">
        <v>27000</v>
      </c>
    </row>
    <row r="22" spans="1:2">
      <c r="A22" s="18" t="s">
        <v>89</v>
      </c>
      <c r="B22">
        <v>19000</v>
      </c>
    </row>
    <row r="23" spans="1:2">
      <c r="A23" s="18" t="s">
        <v>86</v>
      </c>
      <c r="B23">
        <v>7000</v>
      </c>
    </row>
    <row r="24" spans="1:2">
      <c r="A24" s="18" t="s">
        <v>88</v>
      </c>
      <c r="B24">
        <v>15000</v>
      </c>
    </row>
    <row r="25" spans="1:2">
      <c r="A25" s="18" t="s">
        <v>87</v>
      </c>
      <c r="B25">
        <v>21000</v>
      </c>
    </row>
    <row r="26" spans="1:2">
      <c r="A26" s="18" t="s">
        <v>90</v>
      </c>
      <c r="B26">
        <v>23000</v>
      </c>
    </row>
    <row r="27" spans="1:2">
      <c r="A27" s="18" t="s">
        <v>17</v>
      </c>
      <c r="B27">
        <v>12000</v>
      </c>
    </row>
    <row r="28" spans="1:2">
      <c r="A28" s="18" t="s">
        <v>91</v>
      </c>
      <c r="B28">
        <v>8000</v>
      </c>
    </row>
    <row r="29" spans="1:2">
      <c r="A29" s="18" t="s">
        <v>92</v>
      </c>
      <c r="B29">
        <v>31000</v>
      </c>
    </row>
    <row r="30" spans="1:2">
      <c r="A30" s="18" t="s">
        <v>95</v>
      </c>
      <c r="B30">
        <v>10000</v>
      </c>
    </row>
    <row r="31" spans="1:2">
      <c r="A31" s="18" t="s">
        <v>94</v>
      </c>
      <c r="B31">
        <v>20000</v>
      </c>
    </row>
    <row r="32" spans="1:2">
      <c r="A32" s="18" t="s">
        <v>93</v>
      </c>
      <c r="B32">
        <v>14000</v>
      </c>
    </row>
    <row r="33" spans="1:2">
      <c r="A33" s="18" t="s">
        <v>27</v>
      </c>
      <c r="B33">
        <v>25000</v>
      </c>
    </row>
    <row r="34" spans="1:2">
      <c r="A34" s="18" t="s">
        <v>97</v>
      </c>
      <c r="B34">
        <v>9000</v>
      </c>
    </row>
    <row r="35" spans="1:2">
      <c r="A35" s="18" t="s">
        <v>96</v>
      </c>
      <c r="B35">
        <v>18000</v>
      </c>
    </row>
    <row r="36" spans="1:2">
      <c r="A36" s="18" t="s">
        <v>20</v>
      </c>
      <c r="B36">
        <v>28000</v>
      </c>
    </row>
    <row r="37" spans="1:2">
      <c r="A37" s="18" t="s">
        <v>98</v>
      </c>
      <c r="B37">
        <v>16000</v>
      </c>
    </row>
    <row r="38" spans="1:2">
      <c r="A38" s="18" t="s">
        <v>99</v>
      </c>
      <c r="B38">
        <v>11000</v>
      </c>
    </row>
    <row r="39" spans="1:2">
      <c r="A39" s="18" t="s">
        <v>100</v>
      </c>
      <c r="B39">
        <v>13000</v>
      </c>
    </row>
    <row r="40" spans="1:2">
      <c r="A40" s="18" t="s">
        <v>46</v>
      </c>
      <c r="B40">
        <v>22000</v>
      </c>
    </row>
    <row r="41" spans="1:2">
      <c r="A41" s="18" t="s">
        <v>101</v>
      </c>
      <c r="B41">
        <v>26000</v>
      </c>
    </row>
    <row r="42" spans="1:2">
      <c r="A42" s="18" t="s">
        <v>103</v>
      </c>
      <c r="B42">
        <v>7000</v>
      </c>
    </row>
    <row r="43" spans="1:2">
      <c r="A43" s="18" t="s">
        <v>104</v>
      </c>
      <c r="B43">
        <v>24000</v>
      </c>
    </row>
    <row r="44" spans="1:2">
      <c r="A44" s="18" t="s">
        <v>102</v>
      </c>
      <c r="B44">
        <v>17000</v>
      </c>
    </row>
    <row r="45" spans="1:2">
      <c r="A45" s="18" t="s">
        <v>106</v>
      </c>
      <c r="B45">
        <v>30000</v>
      </c>
    </row>
    <row r="46" spans="1:2">
      <c r="A46" s="18" t="s">
        <v>105</v>
      </c>
      <c r="B46">
        <v>15000</v>
      </c>
    </row>
    <row r="47" spans="1:2">
      <c r="A47" s="18" t="s">
        <v>109</v>
      </c>
      <c r="B47">
        <v>27000</v>
      </c>
    </row>
    <row r="48" spans="1:2">
      <c r="A48" s="18" t="s">
        <v>108</v>
      </c>
      <c r="B48">
        <v>12000</v>
      </c>
    </row>
    <row r="49" spans="1:2">
      <c r="A49" s="18" t="s">
        <v>107</v>
      </c>
      <c r="B49">
        <v>19000</v>
      </c>
    </row>
    <row r="50" spans="1:2">
      <c r="A50" s="18" t="s">
        <v>111</v>
      </c>
      <c r="B50">
        <v>21000</v>
      </c>
    </row>
    <row r="51" spans="1:2">
      <c r="A51" s="18" t="s">
        <v>110</v>
      </c>
      <c r="B51">
        <v>14000</v>
      </c>
    </row>
    <row r="52" spans="1:2">
      <c r="A52" s="18" t="s">
        <v>156</v>
      </c>
      <c r="B52">
        <v>908000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88A72-F488-49EC-B2DF-256E6B9F64CB}">
  <dimension ref="A1:S52"/>
  <sheetViews>
    <sheetView tabSelected="1" topLeftCell="A29" zoomScaleNormal="100" workbookViewId="0">
      <selection activeCell="G3" sqref="G3:G52"/>
    </sheetView>
  </sheetViews>
  <sheetFormatPr defaultColWidth="9.109375" defaultRowHeight="13.8"/>
  <cols>
    <col min="1" max="1" width="21.5546875" style="1" customWidth="1"/>
    <col min="2" max="2" width="12.109375" style="1" customWidth="1"/>
    <col min="3" max="3" width="10.33203125" style="1" customWidth="1"/>
    <col min="4" max="4" width="17.88671875" style="1" customWidth="1"/>
    <col min="5" max="5" width="25.109375" style="1" customWidth="1"/>
    <col min="6" max="6" width="37.6640625" style="1" bestFit="1" customWidth="1"/>
    <col min="7" max="7" width="36.109375" style="1" customWidth="1"/>
    <col min="8" max="8" width="22.33203125" style="1" customWidth="1"/>
    <col min="9" max="9" width="43" style="1" customWidth="1"/>
    <col min="10" max="10" width="34.88671875" style="1" customWidth="1"/>
    <col min="11" max="11" width="14.5546875" style="1" customWidth="1"/>
    <col min="12" max="12" width="9.109375" style="1"/>
    <col min="13" max="13" width="23.33203125" style="1" bestFit="1" customWidth="1"/>
    <col min="14" max="14" width="33.44140625" style="1" bestFit="1" customWidth="1"/>
    <col min="15" max="15" width="7" style="1" bestFit="1" customWidth="1"/>
    <col min="16" max="16" width="9.109375" style="1"/>
    <col min="17" max="17" width="9.109375" style="1" customWidth="1"/>
    <col min="18" max="18" width="18.6640625" style="1" bestFit="1" customWidth="1"/>
    <col min="19" max="19" width="26.5546875" style="1" bestFit="1" customWidth="1"/>
    <col min="20" max="16384" width="9.109375" style="1"/>
  </cols>
  <sheetData>
    <row r="1" spans="1:19" ht="22.8">
      <c r="A1" s="19" t="s">
        <v>68</v>
      </c>
      <c r="B1" s="20"/>
      <c r="C1" s="20"/>
      <c r="D1" s="20"/>
      <c r="E1" s="20"/>
      <c r="F1" s="20"/>
      <c r="G1" s="20"/>
      <c r="H1" s="20"/>
      <c r="I1" s="20"/>
      <c r="J1" s="20"/>
      <c r="K1" s="21"/>
      <c r="R1" s="23" t="s">
        <v>148</v>
      </c>
      <c r="S1" s="23"/>
    </row>
    <row r="2" spans="1:19" ht="20.399999999999999">
      <c r="A2" s="9" t="s">
        <v>57</v>
      </c>
      <c r="B2" s="10" t="s">
        <v>58</v>
      </c>
      <c r="C2" s="10" t="s">
        <v>59</v>
      </c>
      <c r="D2" s="10" t="s">
        <v>60</v>
      </c>
      <c r="E2" s="10" t="s">
        <v>61</v>
      </c>
      <c r="F2" s="10" t="s">
        <v>62</v>
      </c>
      <c r="G2" s="10" t="s">
        <v>63</v>
      </c>
      <c r="H2" s="10" t="s">
        <v>64</v>
      </c>
      <c r="I2" s="10" t="s">
        <v>65</v>
      </c>
      <c r="J2" s="10" t="s">
        <v>66</v>
      </c>
      <c r="K2" s="11" t="s">
        <v>67</v>
      </c>
      <c r="N2" s="22" t="s">
        <v>144</v>
      </c>
      <c r="O2" s="22"/>
      <c r="R2" s="12" t="s">
        <v>145</v>
      </c>
      <c r="S2" s="12" t="s">
        <v>146</v>
      </c>
    </row>
    <row r="3" spans="1:19" ht="14.4">
      <c r="A3" s="4" t="s">
        <v>24</v>
      </c>
      <c r="B3" s="2" t="s">
        <v>86</v>
      </c>
      <c r="C3" s="2">
        <v>21</v>
      </c>
      <c r="D3" s="2" t="s">
        <v>118</v>
      </c>
      <c r="E3" s="2" t="s">
        <v>154</v>
      </c>
      <c r="F3" s="2" t="s">
        <v>133</v>
      </c>
      <c r="G3" s="2" t="s">
        <v>135</v>
      </c>
      <c r="H3" s="2">
        <f t="shared" ref="H3:H34" si="0">IF(G3="Yes",100,50)</f>
        <v>50</v>
      </c>
      <c r="I3" s="2" t="s">
        <v>137</v>
      </c>
      <c r="J3" s="2">
        <v>7000</v>
      </c>
      <c r="K3" s="5" t="str">
        <f t="shared" ref="K3:K34" si="1">IF(J3&gt;=25000,"Expert",IF(J3&gt;=15000,"Intermediate","Beginner"))</f>
        <v>Beginner</v>
      </c>
      <c r="N3" s="2" t="s">
        <v>138</v>
      </c>
      <c r="O3" s="2">
        <f>COUNTA(A2:A51)</f>
        <v>50</v>
      </c>
      <c r="R3" s="13" t="s">
        <v>147</v>
      </c>
      <c r="S3" s="14">
        <f>SUMIF(I3:I51,"Fiverr",J3:J51)</f>
        <v>352000</v>
      </c>
    </row>
    <row r="4" spans="1:19" ht="14.4">
      <c r="A4" s="4" t="s">
        <v>48</v>
      </c>
      <c r="B4" s="2" t="s">
        <v>103</v>
      </c>
      <c r="C4" s="2">
        <v>19</v>
      </c>
      <c r="D4" s="2" t="s">
        <v>116</v>
      </c>
      <c r="E4" s="2" t="s">
        <v>124</v>
      </c>
      <c r="F4" s="2" t="s">
        <v>131</v>
      </c>
      <c r="G4" s="2" t="s">
        <v>135</v>
      </c>
      <c r="H4" s="2">
        <f t="shared" si="0"/>
        <v>50</v>
      </c>
      <c r="I4" s="2" t="s">
        <v>136</v>
      </c>
      <c r="J4" s="2">
        <v>7000</v>
      </c>
      <c r="K4" s="5" t="str">
        <f t="shared" si="1"/>
        <v>Beginner</v>
      </c>
      <c r="N4" s="2" t="s">
        <v>139</v>
      </c>
      <c r="O4" s="2">
        <f>AVERAGE(Table3[PROGRESS%])</f>
        <v>83</v>
      </c>
      <c r="R4" s="13" t="s">
        <v>137</v>
      </c>
      <c r="S4" s="15">
        <f>SUMIF(I3:I51,"Upwork",J3:J51)</f>
        <v>378000</v>
      </c>
    </row>
    <row r="5" spans="1:19">
      <c r="A5" s="4" t="s">
        <v>3</v>
      </c>
      <c r="B5" s="2" t="s">
        <v>70</v>
      </c>
      <c r="C5" s="2">
        <v>23</v>
      </c>
      <c r="D5" s="2" t="s">
        <v>114</v>
      </c>
      <c r="E5" s="2" t="s">
        <v>121</v>
      </c>
      <c r="F5" s="2" t="s">
        <v>128</v>
      </c>
      <c r="G5" s="2" t="s">
        <v>134</v>
      </c>
      <c r="H5" s="2">
        <f t="shared" si="0"/>
        <v>100</v>
      </c>
      <c r="I5" s="2" t="s">
        <v>137</v>
      </c>
      <c r="J5" s="2">
        <v>8000</v>
      </c>
      <c r="K5" s="5" t="str">
        <f t="shared" si="1"/>
        <v>Beginner</v>
      </c>
      <c r="N5" s="2" t="s">
        <v>140</v>
      </c>
      <c r="O5" s="2">
        <f>MAX(Table3[MONTHLY EARNINGS])</f>
        <v>31000</v>
      </c>
      <c r="R5" s="13" t="s">
        <v>136</v>
      </c>
      <c r="S5" s="16">
        <f>SUMIF(I3:I51,"Freelancing",J3:J51)</f>
        <v>147000</v>
      </c>
    </row>
    <row r="6" spans="1:19">
      <c r="A6" s="4" t="s">
        <v>32</v>
      </c>
      <c r="B6" s="2" t="s">
        <v>91</v>
      </c>
      <c r="C6" s="2">
        <v>20</v>
      </c>
      <c r="D6" s="2" t="s">
        <v>114</v>
      </c>
      <c r="E6" s="2" t="s">
        <v>121</v>
      </c>
      <c r="F6" s="2" t="s">
        <v>128</v>
      </c>
      <c r="G6" s="2" t="s">
        <v>134</v>
      </c>
      <c r="H6" s="2">
        <f t="shared" si="0"/>
        <v>100</v>
      </c>
      <c r="I6" s="2" t="s">
        <v>136</v>
      </c>
      <c r="J6" s="2">
        <v>8000</v>
      </c>
      <c r="K6" s="5" t="str">
        <f t="shared" si="1"/>
        <v>Beginner</v>
      </c>
      <c r="N6" s="2" t="s">
        <v>141</v>
      </c>
      <c r="O6" s="2">
        <f>MIN(J3:J53)</f>
        <v>7000</v>
      </c>
    </row>
    <row r="7" spans="1:19">
      <c r="A7" s="4" t="s">
        <v>14</v>
      </c>
      <c r="B7" s="2" t="s">
        <v>79</v>
      </c>
      <c r="C7" s="2">
        <v>21</v>
      </c>
      <c r="D7" s="2" t="s">
        <v>112</v>
      </c>
      <c r="E7" s="2" t="s">
        <v>119</v>
      </c>
      <c r="F7" s="2" t="s">
        <v>126</v>
      </c>
      <c r="G7" s="2" t="s">
        <v>135</v>
      </c>
      <c r="H7" s="2">
        <f t="shared" si="0"/>
        <v>50</v>
      </c>
      <c r="I7" s="2" t="s">
        <v>136</v>
      </c>
      <c r="J7" s="2">
        <v>9000</v>
      </c>
      <c r="K7" s="5" t="str">
        <f t="shared" si="1"/>
        <v>Beginner</v>
      </c>
      <c r="N7" s="2" t="s">
        <v>142</v>
      </c>
      <c r="O7" s="2">
        <f>COUNTIF(K2:K51,"Expert")+COUNTIF(K2:K51,"Intermediate")</f>
        <v>31</v>
      </c>
    </row>
    <row r="8" spans="1:19">
      <c r="A8" s="4" t="s">
        <v>39</v>
      </c>
      <c r="B8" s="2" t="s">
        <v>97</v>
      </c>
      <c r="C8" s="2">
        <v>23</v>
      </c>
      <c r="D8" s="2" t="s">
        <v>115</v>
      </c>
      <c r="E8" s="2" t="s">
        <v>123</v>
      </c>
      <c r="F8" s="2" t="s">
        <v>129</v>
      </c>
      <c r="G8" s="2" t="s">
        <v>134</v>
      </c>
      <c r="H8" s="2">
        <f t="shared" si="0"/>
        <v>100</v>
      </c>
      <c r="I8" s="2" t="s">
        <v>147</v>
      </c>
      <c r="J8" s="2">
        <v>9000</v>
      </c>
      <c r="K8" s="5" t="str">
        <f t="shared" si="1"/>
        <v>Beginner</v>
      </c>
      <c r="N8" s="2" t="s">
        <v>143</v>
      </c>
      <c r="O8" s="2">
        <f>SUM(Table3[MONTHLY EARNINGS])</f>
        <v>908000</v>
      </c>
    </row>
    <row r="9" spans="1:19">
      <c r="A9" s="4" t="s">
        <v>8</v>
      </c>
      <c r="B9" s="2" t="s">
        <v>75</v>
      </c>
      <c r="C9" s="2">
        <v>29</v>
      </c>
      <c r="D9" s="2" t="s">
        <v>118</v>
      </c>
      <c r="E9" s="2" t="s">
        <v>154</v>
      </c>
      <c r="F9" s="3" t="s">
        <v>133</v>
      </c>
      <c r="G9" s="2" t="s">
        <v>135</v>
      </c>
      <c r="H9" s="2">
        <f t="shared" si="0"/>
        <v>50</v>
      </c>
      <c r="I9" s="2" t="s">
        <v>137</v>
      </c>
      <c r="J9" s="2">
        <v>10000</v>
      </c>
      <c r="K9" s="5" t="str">
        <f t="shared" si="1"/>
        <v>Beginner</v>
      </c>
    </row>
    <row r="10" spans="1:19">
      <c r="A10" s="4" t="s">
        <v>36</v>
      </c>
      <c r="B10" s="2" t="s">
        <v>95</v>
      </c>
      <c r="C10" s="2">
        <v>19</v>
      </c>
      <c r="D10" s="2" t="s">
        <v>117</v>
      </c>
      <c r="E10" s="2" t="s">
        <v>125</v>
      </c>
      <c r="F10" s="2"/>
      <c r="G10" s="2" t="s">
        <v>134</v>
      </c>
      <c r="H10" s="2">
        <f t="shared" si="0"/>
        <v>100</v>
      </c>
      <c r="I10" s="2" t="s">
        <v>147</v>
      </c>
      <c r="J10" s="2">
        <v>10000</v>
      </c>
      <c r="K10" s="5" t="str">
        <f t="shared" si="1"/>
        <v>Beginner</v>
      </c>
    </row>
    <row r="11" spans="1:19">
      <c r="A11" s="4" t="s">
        <v>18</v>
      </c>
      <c r="B11" s="2" t="s">
        <v>82</v>
      </c>
      <c r="C11" s="2">
        <v>19</v>
      </c>
      <c r="D11" s="2" t="s">
        <v>149</v>
      </c>
      <c r="E11" s="2" t="s">
        <v>121</v>
      </c>
      <c r="F11" s="2" t="s">
        <v>128</v>
      </c>
      <c r="G11" s="2" t="s">
        <v>134</v>
      </c>
      <c r="H11" s="2">
        <f t="shared" si="0"/>
        <v>100</v>
      </c>
      <c r="I11" s="2" t="s">
        <v>137</v>
      </c>
      <c r="J11" s="2">
        <v>11000</v>
      </c>
      <c r="K11" s="5" t="str">
        <f t="shared" si="1"/>
        <v>Beginner</v>
      </c>
    </row>
    <row r="12" spans="1:19" ht="22.8">
      <c r="A12" s="4" t="s">
        <v>42</v>
      </c>
      <c r="B12" s="2" t="s">
        <v>99</v>
      </c>
      <c r="C12" s="2">
        <v>21</v>
      </c>
      <c r="D12" s="2" t="s">
        <v>112</v>
      </c>
      <c r="E12" s="2" t="s">
        <v>119</v>
      </c>
      <c r="F12" s="2" t="s">
        <v>126</v>
      </c>
      <c r="G12" s="2" t="s">
        <v>134</v>
      </c>
      <c r="H12" s="2">
        <f t="shared" si="0"/>
        <v>100</v>
      </c>
      <c r="I12" s="2" t="s">
        <v>136</v>
      </c>
      <c r="J12" s="2">
        <v>11000</v>
      </c>
      <c r="K12" s="5" t="str">
        <f t="shared" si="1"/>
        <v>Beginner</v>
      </c>
      <c r="M12" s="23" t="s">
        <v>151</v>
      </c>
      <c r="N12" s="23"/>
    </row>
    <row r="13" spans="1:19" ht="20.399999999999999">
      <c r="A13" s="4" t="s">
        <v>6</v>
      </c>
      <c r="B13" s="2" t="s">
        <v>73</v>
      </c>
      <c r="C13" s="2">
        <v>20</v>
      </c>
      <c r="D13" s="2" t="s">
        <v>116</v>
      </c>
      <c r="E13" s="2" t="s">
        <v>124</v>
      </c>
      <c r="F13" s="2" t="s">
        <v>131</v>
      </c>
      <c r="G13" s="2" t="s">
        <v>135</v>
      </c>
      <c r="H13" s="2">
        <f t="shared" si="0"/>
        <v>50</v>
      </c>
      <c r="I13" s="2" t="s">
        <v>147</v>
      </c>
      <c r="J13" s="2">
        <v>12000</v>
      </c>
      <c r="K13" s="5" t="str">
        <f t="shared" si="1"/>
        <v>Beginner</v>
      </c>
      <c r="M13" s="12" t="s">
        <v>60</v>
      </c>
      <c r="N13" s="12" t="s">
        <v>150</v>
      </c>
    </row>
    <row r="14" spans="1:19">
      <c r="A14" s="4" t="s">
        <v>30</v>
      </c>
      <c r="B14" s="2" t="s">
        <v>17</v>
      </c>
      <c r="C14" s="2">
        <v>20</v>
      </c>
      <c r="D14" s="2" t="s">
        <v>112</v>
      </c>
      <c r="E14" s="2" t="s">
        <v>119</v>
      </c>
      <c r="F14" s="2" t="s">
        <v>126</v>
      </c>
      <c r="G14" s="2" t="s">
        <v>134</v>
      </c>
      <c r="H14" s="2">
        <f t="shared" si="0"/>
        <v>100</v>
      </c>
      <c r="I14" s="2" t="s">
        <v>137</v>
      </c>
      <c r="J14" s="2">
        <v>12000</v>
      </c>
      <c r="K14" s="5" t="str">
        <f t="shared" si="1"/>
        <v>Beginner</v>
      </c>
      <c r="M14" s="2" t="s">
        <v>112</v>
      </c>
      <c r="N14" s="2" t="str">
        <f>VLOOKUP(M14,Table3[[#All],[INTEREST]:[CAREER GOAL]],2,)</f>
        <v>Full Stack Developer</v>
      </c>
    </row>
    <row r="15" spans="1:19">
      <c r="A15" s="4" t="s">
        <v>53</v>
      </c>
      <c r="B15" s="2" t="s">
        <v>108</v>
      </c>
      <c r="C15" s="2">
        <v>22</v>
      </c>
      <c r="D15" s="2" t="s">
        <v>118</v>
      </c>
      <c r="E15" s="2" t="s">
        <v>122</v>
      </c>
      <c r="F15" s="2" t="s">
        <v>133</v>
      </c>
      <c r="G15" s="2" t="s">
        <v>134</v>
      </c>
      <c r="H15" s="2">
        <f t="shared" si="0"/>
        <v>100</v>
      </c>
      <c r="I15" s="2" t="s">
        <v>136</v>
      </c>
      <c r="J15" s="2">
        <v>12000</v>
      </c>
      <c r="K15" s="5" t="str">
        <f t="shared" si="1"/>
        <v>Beginner</v>
      </c>
      <c r="M15" s="2" t="s">
        <v>113</v>
      </c>
      <c r="N15" s="2" t="str">
        <f>VLOOKUP(M15,Table3[[#All],[INTEREST]:[CAREER GOAL]],2,)</f>
        <v>IT Support Specialist</v>
      </c>
    </row>
    <row r="16" spans="1:19">
      <c r="A16" s="4" t="s">
        <v>21</v>
      </c>
      <c r="B16" s="2" t="s">
        <v>9</v>
      </c>
      <c r="C16" s="2">
        <v>19</v>
      </c>
      <c r="D16" s="2" t="s">
        <v>152</v>
      </c>
      <c r="E16" s="2" t="s">
        <v>153</v>
      </c>
      <c r="F16" s="2" t="s">
        <v>130</v>
      </c>
      <c r="G16" s="2" t="s">
        <v>134</v>
      </c>
      <c r="H16" s="2">
        <f t="shared" si="0"/>
        <v>100</v>
      </c>
      <c r="I16" s="2" t="s">
        <v>136</v>
      </c>
      <c r="J16" s="2">
        <v>13000</v>
      </c>
      <c r="K16" s="5" t="str">
        <f t="shared" si="1"/>
        <v>Beginner</v>
      </c>
      <c r="M16" s="2" t="s">
        <v>149</v>
      </c>
      <c r="N16" s="2" t="str">
        <f>VLOOKUP(M16,Table3[[#All],[INTEREST]:[CAREER GOAL]],2,)</f>
        <v>Digital Marketing Specialist</v>
      </c>
    </row>
    <row r="17" spans="1:14">
      <c r="A17" s="4" t="s">
        <v>44</v>
      </c>
      <c r="B17" s="2" t="s">
        <v>100</v>
      </c>
      <c r="C17" s="2">
        <v>18</v>
      </c>
      <c r="D17" s="2" t="s">
        <v>114</v>
      </c>
      <c r="E17" s="2" t="s">
        <v>121</v>
      </c>
      <c r="F17" s="2" t="s">
        <v>128</v>
      </c>
      <c r="G17" s="2" t="s">
        <v>134</v>
      </c>
      <c r="H17" s="2">
        <f t="shared" si="0"/>
        <v>100</v>
      </c>
      <c r="I17" s="2" t="s">
        <v>147</v>
      </c>
      <c r="J17" s="2">
        <v>13000</v>
      </c>
      <c r="K17" s="5" t="str">
        <f t="shared" si="1"/>
        <v>Beginner</v>
      </c>
      <c r="M17" s="2" t="s">
        <v>115</v>
      </c>
      <c r="N17" s="2" t="str">
        <f>VLOOKUP(M17,Table3[[#All],[INTEREST]:[CAREER GOAL]],2,)</f>
        <v>Graphic Designer</v>
      </c>
    </row>
    <row r="18" spans="1:14">
      <c r="A18" s="4" t="s">
        <v>11</v>
      </c>
      <c r="B18" s="2" t="s">
        <v>77</v>
      </c>
      <c r="C18" s="2">
        <v>18</v>
      </c>
      <c r="D18" s="2" t="s">
        <v>115</v>
      </c>
      <c r="E18" s="2" t="s">
        <v>123</v>
      </c>
      <c r="F18" s="2" t="s">
        <v>129</v>
      </c>
      <c r="G18" s="2" t="s">
        <v>134</v>
      </c>
      <c r="H18" s="2">
        <f t="shared" si="0"/>
        <v>100</v>
      </c>
      <c r="I18" s="2" t="s">
        <v>137</v>
      </c>
      <c r="J18" s="2">
        <v>14000</v>
      </c>
      <c r="K18" s="5" t="str">
        <f t="shared" si="1"/>
        <v>Beginner</v>
      </c>
      <c r="M18" s="2" t="s">
        <v>152</v>
      </c>
      <c r="N18" s="2" t="str">
        <f>VLOOKUP(M18,Table3[[#All],[INTEREST]:[CAREER GOAL]],2,)</f>
        <v>UX/UI Designer</v>
      </c>
    </row>
    <row r="19" spans="1:14">
      <c r="A19" s="4" t="s">
        <v>34</v>
      </c>
      <c r="B19" s="2" t="s">
        <v>93</v>
      </c>
      <c r="C19" s="2">
        <v>18</v>
      </c>
      <c r="D19" s="2" t="s">
        <v>152</v>
      </c>
      <c r="E19" s="2" t="s">
        <v>153</v>
      </c>
      <c r="F19" s="2" t="s">
        <v>130</v>
      </c>
      <c r="G19" s="2" t="s">
        <v>134</v>
      </c>
      <c r="H19" s="2">
        <f t="shared" si="0"/>
        <v>100</v>
      </c>
      <c r="I19" s="2" t="s">
        <v>147</v>
      </c>
      <c r="J19" s="2">
        <v>14000</v>
      </c>
      <c r="K19" s="5" t="str">
        <f t="shared" si="1"/>
        <v>Beginner</v>
      </c>
      <c r="M19" s="2" t="s">
        <v>116</v>
      </c>
      <c r="N19" s="2" t="str">
        <f>VLOOKUP(M19,Table3[[#All],[INTEREST]:[CAREER GOAL]],2,)</f>
        <v>Content Writer</v>
      </c>
    </row>
    <row r="20" spans="1:14">
      <c r="A20" s="4" t="s">
        <v>55</v>
      </c>
      <c r="B20" s="2" t="s">
        <v>110</v>
      </c>
      <c r="C20" s="2">
        <v>19</v>
      </c>
      <c r="D20" s="2" t="s">
        <v>112</v>
      </c>
      <c r="E20" s="2" t="s">
        <v>119</v>
      </c>
      <c r="F20" s="2" t="s">
        <v>126</v>
      </c>
      <c r="G20" s="2" t="s">
        <v>134</v>
      </c>
      <c r="H20" s="2">
        <f t="shared" si="0"/>
        <v>100</v>
      </c>
      <c r="I20" s="2" t="s">
        <v>147</v>
      </c>
      <c r="J20" s="2">
        <v>14000</v>
      </c>
      <c r="K20" s="5" t="str">
        <f t="shared" si="1"/>
        <v>Beginner</v>
      </c>
      <c r="M20" s="2" t="s">
        <v>117</v>
      </c>
      <c r="N20" s="2" t="str">
        <f>VLOOKUP(M20,Table3[[#All],[INTEREST]:[CAREER GOAL]],2,)</f>
        <v>Cyber Security Analyst</v>
      </c>
    </row>
    <row r="21" spans="1:14">
      <c r="A21" s="4" t="s">
        <v>0</v>
      </c>
      <c r="B21" s="2" t="s">
        <v>1</v>
      </c>
      <c r="C21" s="2">
        <v>18</v>
      </c>
      <c r="D21" s="2" t="s">
        <v>112</v>
      </c>
      <c r="E21" s="2" t="s">
        <v>119</v>
      </c>
      <c r="F21" s="2" t="s">
        <v>126</v>
      </c>
      <c r="G21" s="2" t="s">
        <v>134</v>
      </c>
      <c r="H21" s="2">
        <f t="shared" si="0"/>
        <v>100</v>
      </c>
      <c r="I21" s="2" t="s">
        <v>147</v>
      </c>
      <c r="J21" s="2">
        <v>15000</v>
      </c>
      <c r="K21" s="5" t="str">
        <f t="shared" si="1"/>
        <v>Intermediate</v>
      </c>
      <c r="M21" s="2" t="s">
        <v>118</v>
      </c>
      <c r="N21" s="2" t="str">
        <f>VLOOKUP(M21,Table3[[#All],[INTEREST]:[CAREER GOAL]],2,)</f>
        <v xml:space="preserve">SEO Specialist </v>
      </c>
    </row>
    <row r="22" spans="1:14">
      <c r="A22" s="4" t="s">
        <v>26</v>
      </c>
      <c r="B22" s="2" t="s">
        <v>88</v>
      </c>
      <c r="C22" s="2">
        <v>20</v>
      </c>
      <c r="D22" s="2" t="s">
        <v>115</v>
      </c>
      <c r="E22" s="2" t="s">
        <v>123</v>
      </c>
      <c r="F22" s="2" t="s">
        <v>129</v>
      </c>
      <c r="G22" s="2" t="s">
        <v>134</v>
      </c>
      <c r="H22" s="2">
        <f t="shared" si="0"/>
        <v>100</v>
      </c>
      <c r="I22" s="2" t="s">
        <v>136</v>
      </c>
      <c r="J22" s="2">
        <v>15000</v>
      </c>
      <c r="K22" s="5" t="str">
        <f t="shared" si="1"/>
        <v>Intermediate</v>
      </c>
    </row>
    <row r="23" spans="1:14">
      <c r="A23" s="4" t="s">
        <v>50</v>
      </c>
      <c r="B23" s="2" t="s">
        <v>105</v>
      </c>
      <c r="C23" s="2">
        <v>18</v>
      </c>
      <c r="D23" s="2" t="s">
        <v>118</v>
      </c>
      <c r="E23" s="2" t="s">
        <v>122</v>
      </c>
      <c r="F23" s="2" t="s">
        <v>133</v>
      </c>
      <c r="G23" s="2" t="s">
        <v>135</v>
      </c>
      <c r="H23" s="2">
        <f t="shared" si="0"/>
        <v>50</v>
      </c>
      <c r="I23" s="2" t="s">
        <v>147</v>
      </c>
      <c r="J23" s="2">
        <v>15000</v>
      </c>
      <c r="K23" s="5" t="str">
        <f t="shared" si="1"/>
        <v>Intermediate</v>
      </c>
    </row>
    <row r="24" spans="1:14">
      <c r="A24" s="4" t="s">
        <v>23</v>
      </c>
      <c r="B24" s="2" t="s">
        <v>85</v>
      </c>
      <c r="C24" s="2">
        <v>20</v>
      </c>
      <c r="D24" s="2" t="s">
        <v>117</v>
      </c>
      <c r="E24" s="2" t="s">
        <v>125</v>
      </c>
      <c r="F24" s="2" t="s">
        <v>132</v>
      </c>
      <c r="G24" s="2" t="s">
        <v>134</v>
      </c>
      <c r="H24" s="2">
        <f t="shared" si="0"/>
        <v>100</v>
      </c>
      <c r="I24" s="2" t="s">
        <v>147</v>
      </c>
      <c r="J24" s="2">
        <v>16000</v>
      </c>
      <c r="K24" s="5" t="str">
        <f t="shared" si="1"/>
        <v>Intermediate</v>
      </c>
    </row>
    <row r="25" spans="1:14">
      <c r="A25" s="4" t="s">
        <v>41</v>
      </c>
      <c r="B25" s="2" t="s">
        <v>98</v>
      </c>
      <c r="C25" s="2">
        <v>22</v>
      </c>
      <c r="D25" s="2" t="s">
        <v>112</v>
      </c>
      <c r="E25" s="2" t="s">
        <v>119</v>
      </c>
      <c r="F25" s="2" t="s">
        <v>126</v>
      </c>
      <c r="G25" s="2" t="s">
        <v>135</v>
      </c>
      <c r="H25" s="2">
        <f t="shared" si="0"/>
        <v>50</v>
      </c>
      <c r="I25" s="2" t="s">
        <v>147</v>
      </c>
      <c r="J25" s="2">
        <v>16000</v>
      </c>
      <c r="K25" s="5" t="str">
        <f t="shared" si="1"/>
        <v>Intermediate</v>
      </c>
    </row>
    <row r="26" spans="1:14">
      <c r="A26" s="4" t="s">
        <v>16</v>
      </c>
      <c r="B26" s="2" t="s">
        <v>81</v>
      </c>
      <c r="C26" s="2">
        <v>20</v>
      </c>
      <c r="D26" s="2" t="s">
        <v>113</v>
      </c>
      <c r="E26" s="2" t="s">
        <v>120</v>
      </c>
      <c r="F26" s="2" t="s">
        <v>127</v>
      </c>
      <c r="G26" s="2" t="s">
        <v>135</v>
      </c>
      <c r="H26" s="2">
        <f t="shared" si="0"/>
        <v>50</v>
      </c>
      <c r="I26" s="2" t="s">
        <v>147</v>
      </c>
      <c r="J26" s="2">
        <v>17000</v>
      </c>
      <c r="K26" s="5" t="str">
        <f t="shared" si="1"/>
        <v>Intermediate</v>
      </c>
    </row>
    <row r="27" spans="1:14">
      <c r="A27" s="4" t="s">
        <v>47</v>
      </c>
      <c r="B27" s="2" t="s">
        <v>102</v>
      </c>
      <c r="C27" s="2">
        <v>18</v>
      </c>
      <c r="D27" s="2" t="s">
        <v>152</v>
      </c>
      <c r="E27" s="2" t="s">
        <v>153</v>
      </c>
      <c r="F27" s="2" t="s">
        <v>130</v>
      </c>
      <c r="G27" s="2" t="s">
        <v>134</v>
      </c>
      <c r="H27" s="2">
        <f t="shared" si="0"/>
        <v>100</v>
      </c>
      <c r="I27" s="2" t="s">
        <v>147</v>
      </c>
      <c r="J27" s="2">
        <v>17000</v>
      </c>
      <c r="K27" s="5" t="str">
        <f t="shared" si="1"/>
        <v>Intermediate</v>
      </c>
    </row>
    <row r="28" spans="1:14">
      <c r="A28" s="4" t="s">
        <v>5</v>
      </c>
      <c r="B28" s="2" t="s">
        <v>72</v>
      </c>
      <c r="C28" s="2">
        <v>18</v>
      </c>
      <c r="D28" s="2" t="s">
        <v>152</v>
      </c>
      <c r="E28" s="2" t="s">
        <v>153</v>
      </c>
      <c r="F28" s="2" t="s">
        <v>130</v>
      </c>
      <c r="G28" s="2" t="s">
        <v>134</v>
      </c>
      <c r="H28" s="2">
        <f t="shared" si="0"/>
        <v>100</v>
      </c>
      <c r="I28" s="2" t="s">
        <v>137</v>
      </c>
      <c r="J28" s="2">
        <v>18000</v>
      </c>
      <c r="K28" s="5" t="str">
        <f t="shared" si="1"/>
        <v>Intermediate</v>
      </c>
    </row>
    <row r="29" spans="1:14">
      <c r="A29" s="4" t="s">
        <v>38</v>
      </c>
      <c r="B29" s="2" t="s">
        <v>96</v>
      </c>
      <c r="C29" s="2">
        <v>20</v>
      </c>
      <c r="D29" s="2" t="s">
        <v>152</v>
      </c>
      <c r="E29" s="2" t="s">
        <v>153</v>
      </c>
      <c r="F29" s="2" t="s">
        <v>130</v>
      </c>
      <c r="G29" s="2" t="s">
        <v>134</v>
      </c>
      <c r="H29" s="2">
        <f t="shared" si="0"/>
        <v>100</v>
      </c>
      <c r="I29" s="2" t="s">
        <v>137</v>
      </c>
      <c r="J29" s="2">
        <v>18000</v>
      </c>
      <c r="K29" s="5" t="str">
        <f t="shared" si="1"/>
        <v>Intermediate</v>
      </c>
    </row>
    <row r="30" spans="1:14">
      <c r="A30" s="4" t="s">
        <v>29</v>
      </c>
      <c r="B30" s="2" t="s">
        <v>89</v>
      </c>
      <c r="C30" s="2">
        <v>19</v>
      </c>
      <c r="D30" s="2" t="s">
        <v>112</v>
      </c>
      <c r="E30" s="2" t="s">
        <v>119</v>
      </c>
      <c r="F30" s="2" t="s">
        <v>126</v>
      </c>
      <c r="G30" s="2" t="s">
        <v>135</v>
      </c>
      <c r="H30" s="2">
        <f t="shared" si="0"/>
        <v>50</v>
      </c>
      <c r="I30" s="2" t="s">
        <v>147</v>
      </c>
      <c r="J30" s="2">
        <v>19000</v>
      </c>
      <c r="K30" s="5" t="str">
        <f t="shared" si="1"/>
        <v>Intermediate</v>
      </c>
    </row>
    <row r="31" spans="1:14">
      <c r="A31" s="4" t="s">
        <v>52</v>
      </c>
      <c r="B31" s="2" t="s">
        <v>107</v>
      </c>
      <c r="C31" s="2">
        <v>21</v>
      </c>
      <c r="D31" s="2" t="s">
        <v>115</v>
      </c>
      <c r="E31" s="2" t="s">
        <v>123</v>
      </c>
      <c r="F31" s="2" t="s">
        <v>129</v>
      </c>
      <c r="G31" s="2" t="s">
        <v>134</v>
      </c>
      <c r="H31" s="2">
        <f t="shared" si="0"/>
        <v>100</v>
      </c>
      <c r="I31" s="2" t="s">
        <v>147</v>
      </c>
      <c r="J31" s="2">
        <v>19000</v>
      </c>
      <c r="K31" s="5" t="str">
        <f t="shared" si="1"/>
        <v>Intermediate</v>
      </c>
    </row>
    <row r="32" spans="1:14">
      <c r="A32" s="4" t="s">
        <v>12</v>
      </c>
      <c r="B32" s="2" t="s">
        <v>78</v>
      </c>
      <c r="C32" s="2">
        <v>20</v>
      </c>
      <c r="D32" s="2" t="s">
        <v>118</v>
      </c>
      <c r="E32" s="2" t="s">
        <v>122</v>
      </c>
      <c r="F32" s="2" t="s">
        <v>133</v>
      </c>
      <c r="G32" s="2" t="s">
        <v>134</v>
      </c>
      <c r="H32" s="2">
        <f t="shared" si="0"/>
        <v>100</v>
      </c>
      <c r="I32" s="2" t="s">
        <v>147</v>
      </c>
      <c r="J32" s="2">
        <v>20000</v>
      </c>
      <c r="K32" s="5" t="str">
        <f t="shared" si="1"/>
        <v>Intermediate</v>
      </c>
    </row>
    <row r="33" spans="1:11">
      <c r="A33" s="4" t="s">
        <v>35</v>
      </c>
      <c r="B33" s="2" t="s">
        <v>94</v>
      </c>
      <c r="C33" s="2">
        <v>18</v>
      </c>
      <c r="D33" s="2" t="s">
        <v>116</v>
      </c>
      <c r="E33" s="2" t="s">
        <v>120</v>
      </c>
      <c r="F33" s="2" t="s">
        <v>131</v>
      </c>
      <c r="G33" s="2" t="s">
        <v>135</v>
      </c>
      <c r="H33" s="2">
        <f t="shared" si="0"/>
        <v>50</v>
      </c>
      <c r="I33" s="2" t="s">
        <v>137</v>
      </c>
      <c r="J33" s="2">
        <v>20000</v>
      </c>
      <c r="K33" s="5" t="str">
        <f t="shared" si="1"/>
        <v>Intermediate</v>
      </c>
    </row>
    <row r="34" spans="1:11">
      <c r="A34" s="4" t="s">
        <v>25</v>
      </c>
      <c r="B34" s="2" t="s">
        <v>87</v>
      </c>
      <c r="C34" s="2">
        <v>22</v>
      </c>
      <c r="D34" s="2" t="s">
        <v>152</v>
      </c>
      <c r="E34" s="2" t="s">
        <v>153</v>
      </c>
      <c r="F34" s="2" t="s">
        <v>130</v>
      </c>
      <c r="G34" s="2" t="s">
        <v>134</v>
      </c>
      <c r="H34" s="2">
        <f t="shared" si="0"/>
        <v>100</v>
      </c>
      <c r="I34" s="2" t="s">
        <v>147</v>
      </c>
      <c r="J34" s="2">
        <v>21000</v>
      </c>
      <c r="K34" s="5" t="str">
        <f t="shared" si="1"/>
        <v>Intermediate</v>
      </c>
    </row>
    <row r="35" spans="1:11">
      <c r="A35" s="4" t="s">
        <v>56</v>
      </c>
      <c r="B35" s="2" t="s">
        <v>111</v>
      </c>
      <c r="C35" s="2">
        <v>18</v>
      </c>
      <c r="D35" s="2" t="s">
        <v>113</v>
      </c>
      <c r="E35" s="2" t="s">
        <v>120</v>
      </c>
      <c r="F35" s="2" t="s">
        <v>127</v>
      </c>
      <c r="G35" s="2" t="s">
        <v>135</v>
      </c>
      <c r="H35" s="2">
        <f t="shared" ref="H35:H52" si="2">IF(G35="Yes",100,50)</f>
        <v>50</v>
      </c>
      <c r="I35" s="2" t="s">
        <v>137</v>
      </c>
      <c r="J35" s="2">
        <v>21000</v>
      </c>
      <c r="K35" s="5" t="str">
        <f t="shared" ref="K35:K52" si="3">IF(J35&gt;=25000,"Expert",IF(J35&gt;=15000,"Intermediate","Beginner"))</f>
        <v>Intermediate</v>
      </c>
    </row>
    <row r="36" spans="1:11">
      <c r="A36" s="4" t="s">
        <v>2</v>
      </c>
      <c r="B36" s="2" t="s">
        <v>69</v>
      </c>
      <c r="C36" s="2">
        <v>19</v>
      </c>
      <c r="D36" s="2" t="s">
        <v>113</v>
      </c>
      <c r="E36" s="2" t="s">
        <v>120</v>
      </c>
      <c r="F36" s="2" t="s">
        <v>127</v>
      </c>
      <c r="G36" s="2" t="s">
        <v>135</v>
      </c>
      <c r="H36" s="2">
        <f t="shared" si="2"/>
        <v>50</v>
      </c>
      <c r="I36" s="2" t="s">
        <v>136</v>
      </c>
      <c r="J36" s="2">
        <v>22000</v>
      </c>
      <c r="K36" s="5" t="str">
        <f t="shared" si="3"/>
        <v>Intermediate</v>
      </c>
    </row>
    <row r="37" spans="1:11">
      <c r="A37" s="4" t="s">
        <v>43</v>
      </c>
      <c r="B37" s="2" t="s">
        <v>46</v>
      </c>
      <c r="C37" s="2">
        <v>20</v>
      </c>
      <c r="D37" s="2" t="s">
        <v>113</v>
      </c>
      <c r="E37" s="2" t="s">
        <v>120</v>
      </c>
      <c r="F37" s="2" t="s">
        <v>127</v>
      </c>
      <c r="G37" s="2" t="s">
        <v>135</v>
      </c>
      <c r="H37" s="2">
        <f t="shared" si="2"/>
        <v>50</v>
      </c>
      <c r="I37" s="2" t="s">
        <v>137</v>
      </c>
      <c r="J37" s="2">
        <v>22000</v>
      </c>
      <c r="K37" s="5" t="str">
        <f t="shared" si="3"/>
        <v>Intermediate</v>
      </c>
    </row>
    <row r="38" spans="1:11">
      <c r="A38" s="4" t="s">
        <v>31</v>
      </c>
      <c r="B38" s="2" t="s">
        <v>90</v>
      </c>
      <c r="C38" s="2">
        <v>18</v>
      </c>
      <c r="D38" s="2" t="s">
        <v>113</v>
      </c>
      <c r="E38" s="2" t="s">
        <v>120</v>
      </c>
      <c r="F38" s="2" t="s">
        <v>127</v>
      </c>
      <c r="G38" s="2" t="s">
        <v>135</v>
      </c>
      <c r="H38" s="2">
        <f t="shared" si="2"/>
        <v>50</v>
      </c>
      <c r="I38" s="2" t="s">
        <v>147</v>
      </c>
      <c r="J38" s="2">
        <v>23000</v>
      </c>
      <c r="K38" s="5" t="str">
        <f t="shared" si="3"/>
        <v>Intermediate</v>
      </c>
    </row>
    <row r="39" spans="1:11">
      <c r="A39" s="4" t="s">
        <v>19</v>
      </c>
      <c r="B39" s="2" t="s">
        <v>83</v>
      </c>
      <c r="C39" s="2">
        <v>18</v>
      </c>
      <c r="D39" s="2" t="s">
        <v>115</v>
      </c>
      <c r="E39" s="2" t="s">
        <v>123</v>
      </c>
      <c r="F39" s="2" t="s">
        <v>129</v>
      </c>
      <c r="G39" s="2" t="s">
        <v>134</v>
      </c>
      <c r="H39" s="2">
        <f t="shared" si="2"/>
        <v>100</v>
      </c>
      <c r="I39" s="2" t="s">
        <v>147</v>
      </c>
      <c r="J39" s="2">
        <v>24000</v>
      </c>
      <c r="K39" s="5" t="str">
        <f t="shared" si="3"/>
        <v>Intermediate</v>
      </c>
    </row>
    <row r="40" spans="1:11">
      <c r="A40" s="4" t="s">
        <v>49</v>
      </c>
      <c r="B40" s="2" t="s">
        <v>104</v>
      </c>
      <c r="C40" s="2">
        <v>19</v>
      </c>
      <c r="D40" s="2" t="s">
        <v>117</v>
      </c>
      <c r="E40" s="2" t="s">
        <v>125</v>
      </c>
      <c r="F40" s="2" t="s">
        <v>132</v>
      </c>
      <c r="G40" s="2" t="s">
        <v>134</v>
      </c>
      <c r="H40" s="2">
        <f t="shared" si="2"/>
        <v>100</v>
      </c>
      <c r="I40" s="2" t="s">
        <v>137</v>
      </c>
      <c r="J40" s="2">
        <v>24000</v>
      </c>
      <c r="K40" s="5" t="str">
        <f t="shared" si="3"/>
        <v>Intermediate</v>
      </c>
    </row>
    <row r="41" spans="1:11">
      <c r="A41" s="4" t="s">
        <v>7</v>
      </c>
      <c r="B41" s="2" t="s">
        <v>74</v>
      </c>
      <c r="C41" s="2">
        <v>25</v>
      </c>
      <c r="D41" s="2" t="s">
        <v>117</v>
      </c>
      <c r="E41" s="2" t="s">
        <v>125</v>
      </c>
      <c r="F41" s="2" t="s">
        <v>132</v>
      </c>
      <c r="G41" s="2" t="s">
        <v>134</v>
      </c>
      <c r="H41" s="2">
        <f t="shared" si="2"/>
        <v>100</v>
      </c>
      <c r="I41" s="2" t="s">
        <v>136</v>
      </c>
      <c r="J41" s="2">
        <v>25000</v>
      </c>
      <c r="K41" s="5" t="str">
        <f t="shared" si="3"/>
        <v>Expert</v>
      </c>
    </row>
    <row r="42" spans="1:11">
      <c r="A42" s="4" t="s">
        <v>37</v>
      </c>
      <c r="B42" s="2" t="s">
        <v>27</v>
      </c>
      <c r="C42" s="2">
        <v>18</v>
      </c>
      <c r="D42" s="2" t="s">
        <v>118</v>
      </c>
      <c r="E42" s="2" t="s">
        <v>122</v>
      </c>
      <c r="F42" s="2" t="s">
        <v>133</v>
      </c>
      <c r="G42" s="2" t="s">
        <v>135</v>
      </c>
      <c r="H42" s="2">
        <f t="shared" si="2"/>
        <v>50</v>
      </c>
      <c r="I42" s="2" t="s">
        <v>136</v>
      </c>
      <c r="J42" s="2">
        <v>25000</v>
      </c>
      <c r="K42" s="5" t="str">
        <f t="shared" si="3"/>
        <v>Expert</v>
      </c>
    </row>
    <row r="43" spans="1:11">
      <c r="A43" s="4" t="s">
        <v>15</v>
      </c>
      <c r="B43" s="2" t="s">
        <v>80</v>
      </c>
      <c r="C43" s="2">
        <v>24</v>
      </c>
      <c r="D43" s="2" t="s">
        <v>112</v>
      </c>
      <c r="E43" s="2" t="s">
        <v>119</v>
      </c>
      <c r="F43" s="2" t="s">
        <v>126</v>
      </c>
      <c r="G43" s="2" t="s">
        <v>134</v>
      </c>
      <c r="H43" s="2">
        <f t="shared" si="2"/>
        <v>100</v>
      </c>
      <c r="I43" s="2" t="s">
        <v>137</v>
      </c>
      <c r="J43" s="2">
        <v>26000</v>
      </c>
      <c r="K43" s="5" t="str">
        <f t="shared" si="3"/>
        <v>Expert</v>
      </c>
    </row>
    <row r="44" spans="1:11">
      <c r="A44" s="4" t="s">
        <v>45</v>
      </c>
      <c r="B44" s="2" t="s">
        <v>101</v>
      </c>
      <c r="C44" s="2">
        <v>20</v>
      </c>
      <c r="D44" s="2" t="s">
        <v>115</v>
      </c>
      <c r="E44" s="2" t="s">
        <v>123</v>
      </c>
      <c r="F44" s="2" t="s">
        <v>131</v>
      </c>
      <c r="G44" s="2" t="s">
        <v>134</v>
      </c>
      <c r="H44" s="2">
        <f t="shared" si="2"/>
        <v>100</v>
      </c>
      <c r="I44" s="2" t="s">
        <v>137</v>
      </c>
      <c r="J44" s="2">
        <v>26000</v>
      </c>
      <c r="K44" s="5" t="str">
        <f t="shared" si="3"/>
        <v>Expert</v>
      </c>
    </row>
    <row r="45" spans="1:11">
      <c r="A45" s="4" t="s">
        <v>28</v>
      </c>
      <c r="B45" s="2" t="s">
        <v>13</v>
      </c>
      <c r="C45" s="2">
        <v>21</v>
      </c>
      <c r="D45" s="2" t="s">
        <v>118</v>
      </c>
      <c r="E45" s="2" t="s">
        <v>122</v>
      </c>
      <c r="F45" s="2" t="s">
        <v>133</v>
      </c>
      <c r="G45" s="2" t="s">
        <v>134</v>
      </c>
      <c r="H45" s="2">
        <f t="shared" si="2"/>
        <v>100</v>
      </c>
      <c r="I45" s="2" t="s">
        <v>137</v>
      </c>
      <c r="J45" s="2">
        <v>27000</v>
      </c>
      <c r="K45" s="5" t="str">
        <f t="shared" si="3"/>
        <v>Expert</v>
      </c>
    </row>
    <row r="46" spans="1:11">
      <c r="A46" s="4" t="s">
        <v>54</v>
      </c>
      <c r="B46" s="2" t="s">
        <v>109</v>
      </c>
      <c r="C46" s="2">
        <v>20</v>
      </c>
      <c r="D46" s="2" t="s">
        <v>112</v>
      </c>
      <c r="E46" s="2" t="s">
        <v>119</v>
      </c>
      <c r="F46" s="2" t="s">
        <v>126</v>
      </c>
      <c r="G46" s="2" t="s">
        <v>135</v>
      </c>
      <c r="H46" s="2">
        <f t="shared" si="2"/>
        <v>50</v>
      </c>
      <c r="I46" s="2" t="s">
        <v>137</v>
      </c>
      <c r="J46" s="2">
        <v>27000</v>
      </c>
      <c r="K46" s="5" t="str">
        <f t="shared" si="3"/>
        <v>Expert</v>
      </c>
    </row>
    <row r="47" spans="1:11">
      <c r="A47" s="4" t="s">
        <v>4</v>
      </c>
      <c r="B47" s="2" t="s">
        <v>71</v>
      </c>
      <c r="C47" s="2">
        <v>21</v>
      </c>
      <c r="D47" s="2" t="s">
        <v>115</v>
      </c>
      <c r="E47" s="2" t="s">
        <v>123</v>
      </c>
      <c r="F47" s="2" t="s">
        <v>129</v>
      </c>
      <c r="G47" s="2" t="s">
        <v>134</v>
      </c>
      <c r="H47" s="2">
        <f t="shared" si="2"/>
        <v>100</v>
      </c>
      <c r="I47" s="2" t="s">
        <v>147</v>
      </c>
      <c r="J47" s="2">
        <v>28000</v>
      </c>
      <c r="K47" s="5" t="str">
        <f t="shared" si="3"/>
        <v>Expert</v>
      </c>
    </row>
    <row r="48" spans="1:11">
      <c r="A48" s="4" t="s">
        <v>40</v>
      </c>
      <c r="B48" s="2" t="s">
        <v>20</v>
      </c>
      <c r="C48" s="2">
        <v>21</v>
      </c>
      <c r="D48" s="2" t="s">
        <v>118</v>
      </c>
      <c r="E48" s="2" t="s">
        <v>122</v>
      </c>
      <c r="F48" s="2" t="s">
        <v>133</v>
      </c>
      <c r="G48" s="2" t="s">
        <v>134</v>
      </c>
      <c r="H48" s="2">
        <f t="shared" si="2"/>
        <v>100</v>
      </c>
      <c r="I48" s="2" t="s">
        <v>137</v>
      </c>
      <c r="J48" s="2">
        <v>28000</v>
      </c>
      <c r="K48" s="5" t="str">
        <f t="shared" si="3"/>
        <v>Expert</v>
      </c>
    </row>
    <row r="49" spans="1:11">
      <c r="A49" s="4" t="s">
        <v>22</v>
      </c>
      <c r="B49" s="2" t="s">
        <v>84</v>
      </c>
      <c r="C49" s="2">
        <v>19</v>
      </c>
      <c r="D49" s="2" t="s">
        <v>116</v>
      </c>
      <c r="E49" s="2" t="s">
        <v>124</v>
      </c>
      <c r="F49" s="2" t="s">
        <v>131</v>
      </c>
      <c r="G49" s="2" t="s">
        <v>135</v>
      </c>
      <c r="H49" s="2">
        <f t="shared" si="2"/>
        <v>50</v>
      </c>
      <c r="I49" s="2" t="s">
        <v>137</v>
      </c>
      <c r="J49" s="2">
        <v>29000</v>
      </c>
      <c r="K49" s="5" t="str">
        <f t="shared" si="3"/>
        <v>Expert</v>
      </c>
    </row>
    <row r="50" spans="1:11">
      <c r="A50" s="4" t="s">
        <v>10</v>
      </c>
      <c r="B50" s="2" t="s">
        <v>76</v>
      </c>
      <c r="C50" s="2">
        <v>18</v>
      </c>
      <c r="D50" s="2" t="s">
        <v>152</v>
      </c>
      <c r="E50" s="2" t="s">
        <v>153</v>
      </c>
      <c r="F50" s="2" t="s">
        <v>130</v>
      </c>
      <c r="G50" s="2" t="s">
        <v>134</v>
      </c>
      <c r="H50" s="2">
        <f t="shared" si="2"/>
        <v>100</v>
      </c>
      <c r="I50" s="2" t="s">
        <v>147</v>
      </c>
      <c r="J50" s="2">
        <v>30000</v>
      </c>
      <c r="K50" s="5" t="str">
        <f t="shared" si="3"/>
        <v>Expert</v>
      </c>
    </row>
    <row r="51" spans="1:11">
      <c r="A51" s="4" t="s">
        <v>51</v>
      </c>
      <c r="B51" s="2" t="s">
        <v>106</v>
      </c>
      <c r="C51" s="2">
        <v>20</v>
      </c>
      <c r="D51" s="2" t="s">
        <v>152</v>
      </c>
      <c r="E51" s="2" t="s">
        <v>123</v>
      </c>
      <c r="F51" s="2" t="s">
        <v>129</v>
      </c>
      <c r="G51" s="2" t="s">
        <v>134</v>
      </c>
      <c r="H51" s="2">
        <f t="shared" si="2"/>
        <v>100</v>
      </c>
      <c r="I51" s="2" t="s">
        <v>137</v>
      </c>
      <c r="J51" s="2">
        <v>30000</v>
      </c>
      <c r="K51" s="5" t="str">
        <f t="shared" si="3"/>
        <v>Expert</v>
      </c>
    </row>
    <row r="52" spans="1:11">
      <c r="A52" s="6" t="s">
        <v>33</v>
      </c>
      <c r="B52" s="7" t="s">
        <v>92</v>
      </c>
      <c r="C52" s="7">
        <v>19</v>
      </c>
      <c r="D52" s="7" t="s">
        <v>115</v>
      </c>
      <c r="E52" s="7" t="s">
        <v>123</v>
      </c>
      <c r="F52" s="7" t="s">
        <v>129</v>
      </c>
      <c r="G52" s="7" t="s">
        <v>134</v>
      </c>
      <c r="H52" s="7">
        <f t="shared" si="2"/>
        <v>100</v>
      </c>
      <c r="I52" s="7" t="s">
        <v>137</v>
      </c>
      <c r="J52" s="7">
        <v>31000</v>
      </c>
      <c r="K52" s="8" t="str">
        <f t="shared" si="3"/>
        <v>Expert</v>
      </c>
    </row>
  </sheetData>
  <mergeCells count="4">
    <mergeCell ref="A1:K1"/>
    <mergeCell ref="N2:O2"/>
    <mergeCell ref="R1:S1"/>
    <mergeCell ref="M12:N12"/>
  </mergeCells>
  <phoneticPr fontId="2" type="noConversion"/>
  <conditionalFormatting sqref="G3:G52">
    <cfRule type="containsText" dxfId="0" priority="2" operator="containsText" text="No">
      <formula>NOT(ISERROR(SEARCH("No",G3)))</formula>
    </cfRule>
    <cfRule type="containsText" dxfId="1" priority="1" operator="containsText" text="yes">
      <formula>NOT(ISERROR(SEARCH("yes",G3)))</formula>
    </cfRule>
  </conditionalFormatting>
  <dataValidations count="3">
    <dataValidation type="list" allowBlank="1" showInputMessage="1" showErrorMessage="1" sqref="D2" xr:uid="{058F0438-3FD7-4F7B-B092-759CDDB7BD45}">
      <formula1>$D$3:$D$10</formula1>
    </dataValidation>
    <dataValidation type="list" allowBlank="1" showInputMessage="1" showErrorMessage="1" sqref="E2:E52" xr:uid="{A1A54A0B-A74D-41FB-84F8-38D6006B3A03}">
      <formula1>"Content Writer, Digital Marketing Specialist, Full Stact Developer, Graphic Designer, UX/UI Designer, Cyber Security Analyst, Full Stack Developer,IT Support Specialist, SEO Specialist "</formula1>
    </dataValidation>
    <dataValidation type="list" allowBlank="1" showInputMessage="1" showErrorMessage="1" sqref="D3:D52" xr:uid="{674C7660-D7C8-4193-B589-9A1B84C11672}">
      <formula1>"SEO,CIT, Content Writing, Digital Marketing, Web Development, Graphic Designing, UX/UI Design, Cyber Security"</formula1>
    </dataValidation>
  </dataValidations>
  <pageMargins left="0.7" right="0.7" top="0.75" bottom="0.75" header="0.3" footer="0.3"/>
  <ignoredErrors>
    <ignoredError sqref="E3 E9 E15 E23 E32 E42 E45 E48 D2:E2" listDataValidatio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Career Earnings Comparison</vt:lpstr>
      <vt:lpstr>Monthly Earnings by Student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SysTech</dc:creator>
  <cp:lastModifiedBy>System inn computer</cp:lastModifiedBy>
  <dcterms:created xsi:type="dcterms:W3CDTF">2026-06-09T09:16:37Z</dcterms:created>
  <dcterms:modified xsi:type="dcterms:W3CDTF">2026-06-12T15:41:13Z</dcterms:modified>
</cp:coreProperties>
</file>